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prbg\Desktop\proceso de analisis\"/>
    </mc:Choice>
  </mc:AlternateContent>
  <xr:revisionPtr revIDLastSave="0" documentId="13_ncr:1_{C1B08A85-1CFE-4C29-A610-2D82B05DCA8B}" xr6:coauthVersionLast="47" xr6:coauthVersionMax="47" xr10:uidLastSave="{00000000-0000-0000-0000-000000000000}"/>
  <bookViews>
    <workbookView xWindow="-120" yWindow="-120" windowWidth="29040" windowHeight="15720" tabRatio="500" firstSheet="2" activeTab="3" xr2:uid="{00000000-000D-0000-FFFF-FFFF00000000}"/>
  </bookViews>
  <sheets>
    <sheet name="0. Portada" sheetId="1" r:id="rId1"/>
    <sheet name="M. Normativo" sheetId="2" r:id="rId2"/>
    <sheet name="1. Básico" sheetId="3" r:id="rId3"/>
    <sheet name="2. Intermedio" sheetId="4" r:id="rId4"/>
    <sheet name="3. Avanzado" sheetId="5" r:id="rId5"/>
    <sheet name="4. Resumen" sheetId="6" r:id="rId6"/>
  </sheets>
  <definedNames>
    <definedName name="_xlnm.Print_Area" localSheetId="4">'3. Avanzado'!$A$1:$T$35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1" i="5" l="1"/>
  <c r="N31" i="5"/>
  <c r="K31" i="5"/>
  <c r="H31" i="5"/>
  <c r="E31" i="5"/>
  <c r="A31" i="5"/>
  <c r="J5" i="5"/>
  <c r="J4" i="5"/>
  <c r="J3" i="5"/>
  <c r="B10" i="6"/>
  <c r="B9" i="6"/>
  <c r="B5" i="6"/>
  <c r="B4" i="6"/>
  <c r="B3" i="6"/>
  <c r="J17" i="4"/>
  <c r="K17" i="4" s="1"/>
  <c r="K16" i="4"/>
  <c r="J16" i="4"/>
  <c r="J15" i="4"/>
  <c r="K15" i="4" s="1"/>
  <c r="K14" i="4"/>
  <c r="J14" i="4"/>
  <c r="J13" i="4"/>
  <c r="K13" i="4" s="1"/>
  <c r="J12" i="4"/>
  <c r="K12" i="4" s="1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J5" i="4"/>
  <c r="K5" i="4" s="1"/>
  <c r="J4" i="4"/>
  <c r="K4" i="4" s="1"/>
  <c r="J3" i="4"/>
  <c r="K3" i="4" s="1"/>
  <c r="B8" i="6" l="1"/>
  <c r="B7" i="6"/>
  <c r="B6" i="6"/>
</calcChain>
</file>

<file path=xl/sharedStrings.xml><?xml version="1.0" encoding="utf-8"?>
<sst xmlns="http://schemas.openxmlformats.org/spreadsheetml/2006/main" count="194" uniqueCount="180">
  <si>
    <t>SISTEMA DE GESTIÓN DE LA CALIDAD (SGC)</t>
  </si>
  <si>
    <t>FASE DE ANÁLISIS — PROCESO DE ANÁLISIS DE LA INFORMACIÓN LEVANTADA</t>
  </si>
  <si>
    <t>MATRIZ DE HALLAZGOS</t>
  </si>
  <si>
    <t>Registro, valoración y priorización de hallazgos del análisis del proceso (problemas, oportunidades y mejoras)</t>
  </si>
  <si>
    <t>Código del documento: MH-SGC-001  ·  Marca de autoría: Pierre R.</t>
  </si>
  <si>
    <t>Plantilla genérica y referencial — adaptable a la normativa interna de cada organización</t>
  </si>
  <si>
    <t>CONTROL DE VERSIONES</t>
  </si>
  <si>
    <t>Versión</t>
  </si>
  <si>
    <t>Fecha</t>
  </si>
  <si>
    <t>Elaborado por</t>
  </si>
  <si>
    <t>Revisado por</t>
  </si>
  <si>
    <t>Aprobado por</t>
  </si>
  <si>
    <t>01</t>
  </si>
  <si>
    <t>[DD/MM/AAAA]</t>
  </si>
  <si>
    <t>Pierre R. — Consultor SGC</t>
  </si>
  <si>
    <t>[NOMBRE / CARGO]</t>
  </si>
  <si>
    <t>GUÍA DE USO POR NIVEL</t>
  </si>
  <si>
    <t>Hoja "1. Básico"</t>
  </si>
  <si>
    <t>Registro simple de hallazgos: contexto, hallazgo, recomendación y referencia normativa.</t>
  </si>
  <si>
    <t>Hoja "2. Intermedio"</t>
  </si>
  <si>
    <t>Matriz con valoración de riesgo (Probabilidad × Impacto), causa preliminar y seguimiento de la acción.</t>
  </si>
  <si>
    <t>Hoja "3. Avanzado"</t>
  </si>
  <si>
    <t>Matriz integrada: causa raíz (5 Porqués), Pareto, vínculo PHVA, KPI afectado y trazabilidad con FB-SGC-003.</t>
  </si>
  <si>
    <t>MARCO NORMATIVO Y DE BUENAS PRÁCTICAS APLICABLE</t>
  </si>
  <si>
    <t>NTP-ISO 9001:2015 (INACAL)</t>
  </si>
  <si>
    <t>Apartado 9.1.3 (análisis y evaluación de datos); 4.4.1 (enfoque a procesos); 6.1 (riesgos y oportunidades); 10.2-10.3 (no conformidad, acción correctiva y mejora continua). Adopción peruana equivalente de ISO 9001:2015.</t>
  </si>
  <si>
    <t>NTP-ISO 9000:2015</t>
  </si>
  <si>
    <t>Fundamentos y vocabulario: toma de decisiones basada en evidencia; definiciones de conformidad y no conformidad.</t>
  </si>
  <si>
    <t>ISO 19011:2018</t>
  </si>
  <si>
    <t>Directrices para auditoría: hallazgo = evidencia evaluada frente a criterio; clasificación de hallazgos (conformidad, no conformidad, oportunidad de mejora).</t>
  </si>
  <si>
    <t>ISO 31000:2018</t>
  </si>
  <si>
    <t>Gestión del riesgo: valoración por probabilidad e impacto para priorizar hallazgos.</t>
  </si>
  <si>
    <t>BPM CBOK v4.0 (ABPMP)</t>
  </si>
  <si>
    <t>Análisis de procesos: identificación de problemas de desempeño, handoffs, tiempos y cuellos de botella sobre el AS-IS.</t>
  </si>
  <si>
    <t>D.S. N° 004-2013-PCM</t>
  </si>
  <si>
    <t>Política Nacional de Modernización de la Gestión Pública — gestión por procesos (aplicable a entidades públicas peruanas).</t>
  </si>
  <si>
    <t>Norma Técnica N° 001-2018-SGP (D.S. N° 123-2018-PCM)</t>
  </si>
  <si>
    <t>Implementación de la gestión por procesos en entidades de la administración pública (PCM/SGP).</t>
  </si>
  <si>
    <t>Ley N° 27658</t>
  </si>
  <si>
    <t>Ley Marco de Modernización de la Gestión del Estado: eficiencia y mejora del servicio al ciudadano.</t>
  </si>
  <si>
    <t>Guía Peruana GP 1 (INACAL)</t>
  </si>
  <si>
    <t>Orientación para implementación del SGC en pequeñas empresas.</t>
  </si>
  <si>
    <t>Lean / Pareto / 5 Porqués</t>
  </si>
  <si>
    <t>Buenas prácticas: priorización 80/20, identificación de muda y análisis de causa raíz.</t>
  </si>
  <si>
    <t>[NORMATIVA INTERNA]</t>
  </si>
  <si>
    <t>Indicar Manual de Calidad, procedimientos o directivas internas usados como criterio (p. ej. MC-SGC-001, PR-SGC-XXX).</t>
  </si>
  <si>
    <t>NIVEL BÁSICO — REGISTRO SIMPLE DE HALLAZGOS  ·  Estructura: contexto → hallazgo → recomendación → referencia normativa (NTP-ISO 9001:2015, 9.1.3)</t>
  </si>
  <si>
    <t>N°</t>
  </si>
  <si>
    <t>Proceso / área</t>
  </si>
  <si>
    <t>Fuente del levantamiento</t>
  </si>
  <si>
    <t>Contexto</t>
  </si>
  <si>
    <t>Hallazgo (situación encontrada)</t>
  </si>
  <si>
    <t>Tipo (Problema / Oportunidad / Mejora)</t>
  </si>
  <si>
    <t>Recomendación</t>
  </si>
  <si>
    <t>Referencia normativa</t>
  </si>
  <si>
    <t>Responsable</t>
  </si>
  <si>
    <t>NIVEL INTERMEDIO — MATRIZ CON VALORACIÓN DE RIESGO (ISO 31000:2018) Y SEGUIMIENTO DE ACCIONES (NTP-ISO 9001:2015, 6.1 y 10.2)</t>
  </si>
  <si>
    <t>Hallazgo</t>
  </si>
  <si>
    <t>Evidencia (fuente)</t>
  </si>
  <si>
    <t>Criterio incumplido / referencia</t>
  </si>
  <si>
    <t>Causa preliminar</t>
  </si>
  <si>
    <t>Probabilidad (1-5)</t>
  </si>
  <si>
    <t>Impacto (1-5)</t>
  </si>
  <si>
    <t>Riesgo (P×I)</t>
  </si>
  <si>
    <t>Nivel de riesgo</t>
  </si>
  <si>
    <t>Acción propuesta</t>
  </si>
  <si>
    <t>Plazo</t>
  </si>
  <si>
    <t>Estado</t>
  </si>
  <si>
    <t>Escala de riesgo: BAJO (1-6) monitorear · MEDIO (8-12) plan de acción · ALTO (15-25) acción inmediata y escalamiento a la dirección (cláusula 5.1).</t>
  </si>
  <si>
    <t>NIVEL AVANZADO — MATRIZ INTEGRADA: CAUSA RAÍZ, PARETO, PHVA, KPI Y TRAZABILIDAD (NTP-ISO 9001:2015 9.1.3 / 10.2-10.3 · BPM CBOK 4.0 · Six Sigma)</t>
  </si>
  <si>
    <t>Proceso</t>
  </si>
  <si>
    <t>Hallazgo priorizado</t>
  </si>
  <si>
    <t>Evidencia</t>
  </si>
  <si>
    <t>Criterio / cláusula</t>
  </si>
  <si>
    <t>Categoría (Pareto)</t>
  </si>
  <si>
    <t>Frecuencia</t>
  </si>
  <si>
    <t>Causa raíz (5 Porqués / Ishikawa)</t>
  </si>
  <si>
    <t>KPI afectado</t>
  </si>
  <si>
    <t>Valor actual</t>
  </si>
  <si>
    <t>Meta</t>
  </si>
  <si>
    <t>Etapa PHVA</t>
  </si>
  <si>
    <t>Acción / iniciativa</t>
  </si>
  <si>
    <t>Ficha de brecha (FB-SGC-003)</t>
  </si>
  <si>
    <t>Verificación de eficacia (10.2.1.d)</t>
  </si>
  <si>
    <t>RESUMEN AUTOMÁTICO — CONTEO DE HALLAZGOS POR NIVEL Y ESTADO</t>
  </si>
  <si>
    <t>Hallazgos registrados — Nivel Básico</t>
  </si>
  <si>
    <t>Hallazgos registrados — Nivel Intermedio</t>
  </si>
  <si>
    <t>Hallazgos registrados — Nivel Avanzado</t>
  </si>
  <si>
    <t>Riesgo ALTO (Intermedio)</t>
  </si>
  <si>
    <t>Riesgo MEDIO (Intermedio)</t>
  </si>
  <si>
    <t>Riesgo BAJO (Intermedio)</t>
  </si>
  <si>
    <t>Acciones pendientes (Intermedio)</t>
  </si>
  <si>
    <t>Acciones verificadas eficaces (Avanzado)</t>
  </si>
  <si>
    <t>Este resumen alimenta el Reporte de Análisis (RA-SGC-004) y la revisión por la dirección (NTP-ISO 9001:2015, 9.3.2).</t>
  </si>
  <si>
    <t>15/03/2026</t>
  </si>
  <si>
    <t>Gestión de compras</t>
  </si>
  <si>
    <t>Órdenes de compra emitidas sin cotización mínima de 3 proveedores</t>
  </si>
  <si>
    <t>Muestreo de 40 OC: 14 sin cotización (Reporte RA-SGC-004)</t>
  </si>
  <si>
    <t>NTP-ISO 9001:2015 8.4.1 / Directiva interna PR-SGC-012</t>
  </si>
  <si>
    <t>Proceso / Procedimiento</t>
  </si>
  <si>
    <t>5 Porqués → No existe control automático en el ERP que bloquee la emisión sin las 3 cotizaciones cargadas</t>
  </si>
  <si>
    <t>% OC conformes con política de compras</t>
  </si>
  <si>
    <t>≥ 95%</t>
  </si>
  <si>
    <t>Planear</t>
  </si>
  <si>
    <t>Configurar validación obligatoria de 3 cotizaciones en el flujo de aprobación del ERP</t>
  </si>
  <si>
    <t>FB-SGC-003-01</t>
  </si>
  <si>
    <t>Jefe de Logística</t>
  </si>
  <si>
    <t>30/06/2026</t>
  </si>
  <si>
    <t>En proceso</t>
  </si>
  <si>
    <t>Auditoría de seguimiento a 60 días: ≥ 95% de OC con 3 cotizaciones (muestra ≥ 30 OC)</t>
  </si>
  <si>
    <t>Atención al cliente</t>
  </si>
  <si>
    <t>Reclamos sin respuesta dentro del plazo comprometido (48 h)</t>
  </si>
  <si>
    <t>Registro de tickets: 22 reclamos fuera de SLA en el trimestre</t>
  </si>
  <si>
    <t>NTP-ISO 9001:2015 9.1.2 / 10.2.1</t>
  </si>
  <si>
    <t>Tiempo / Demora</t>
  </si>
  <si>
    <t>Ishikawa (Método) → Falta de asignación automática de responsable y ausencia de alertas de vencimiento de SLA</t>
  </si>
  <si>
    <t>% reclamos atendidos dentro de SLA</t>
  </si>
  <si>
    <t>≥ 90%</t>
  </si>
  <si>
    <t>Hacer</t>
  </si>
  <si>
    <t>Implementar enrutamiento automático y alertas de SLA a 24 h y 40 h en la mesa de ayuda</t>
  </si>
  <si>
    <t>FB-SGC-003-02</t>
  </si>
  <si>
    <t>Coord. de Servicio</t>
  </si>
  <si>
    <t>31/07/2026</t>
  </si>
  <si>
    <t>Pendiente</t>
  </si>
  <si>
    <t>Medición mensual del SLA durante 3 meses: ≥ 90% sostenido</t>
  </si>
  <si>
    <t>16/03/2026</t>
  </si>
  <si>
    <t>Producción</t>
  </si>
  <si>
    <t>Reprocesos por defectos de etiquetado en línea 2</t>
  </si>
  <si>
    <t>Informe de calidad: 9 lotes reprocesados (3.2% de la producción)</t>
  </si>
  <si>
    <t>NTP-ISO 9001:2015 8.5.1 / 8.7</t>
  </si>
  <si>
    <t>Defecto / Calidad</t>
  </si>
  <si>
    <t>5 Porqués → Plantilla de etiqueta desactualizada en la impresora; no hay verificación visual al inicio de turno</t>
  </si>
  <si>
    <t>Tasa de reprocesos línea 2</t>
  </si>
  <si>
    <t>3,2%</t>
  </si>
  <si>
    <t>≤ 1,0%</t>
  </si>
  <si>
    <t>Verificar</t>
  </si>
  <si>
    <t>Estandarizar verificación de primera pieza (first-article) y control de versión de plantillas</t>
  </si>
  <si>
    <t>FB-SGC-003-03</t>
  </si>
  <si>
    <t>Supervisor de Planta</t>
  </si>
  <si>
    <t>15/08/2026</t>
  </si>
  <si>
    <t>Carta de control p durante 8 semanas: tasa ≤ 1,0% sin puntos fuera de control</t>
  </si>
  <si>
    <t>LEYENDA, CRITERIOS DE LLENADO E INTERPRETACIÓN AVANZADA</t>
  </si>
  <si>
    <t>① PARETO 80/20 (Categoría · Frecuencia)</t>
  </si>
  <si>
    <t>② RIESGO P×I (ISO 31000:2018)</t>
  </si>
  <si>
    <t>③ CICLO PHVA (Mejora 10.2 / 10.3)</t>
  </si>
  <si>
    <t>④ ESTADO Y VERIFICACIÓN DE EFICACIA</t>
  </si>
  <si>
    <t>•  Ordene las CATEGORÍAS por FRECUENCIA descendente.</t>
  </si>
  <si>
    <t>•  Riesgo = Probabilidad (1-5) × Impacto (1-5).</t>
  </si>
  <si>
    <t>•  PLANEAR: definir causa raíz, meta y acción.</t>
  </si>
  <si>
    <t>•  🟥 Pendiente · 🟨 En proceso · 🟩 Cerrado · 🔴 Vencido.</t>
  </si>
  <si>
    <t>•  El 20% de las causas suele explicar el 80% de los hallazgos.</t>
  </si>
  <si>
    <t>•  🟩 BAJO (1-7): monitorear y registrar.</t>
  </si>
  <si>
    <t>•  HACER: ejecutar la acción / iniciativa.</t>
  </si>
  <si>
    <t>•  El color del 'Estado' se asigna automáticamente.</t>
  </si>
  <si>
    <t>•  Concentre las acciones en ese 20% vital (pocos vitales).</t>
  </si>
  <si>
    <t>•  🟨 MEDIO (8-12): plan de acción con responsable y plazo.</t>
  </si>
  <si>
    <t>•  VERIFICAR: medir el KPI y comparar contra la meta.</t>
  </si>
  <si>
    <t>•  Verificación de eficacia (10.2.1.d): evidencia de que</t>
  </si>
  <si>
    <t>•  Categorías sugeridas: Proceso, Tiempo, Defecto, Documentación, Recurso, Comunicación, Tecnología.</t>
  </si>
  <si>
    <t>•  🟥 ALTO (15-25): acción inmediata + escalamiento a Dirección (cláusula 5.1).</t>
  </si>
  <si>
    <t>•  ACTUAR: estandarizar lo que funciona o re-planear.</t>
  </si>
  <si>
    <t>•  la acción eliminó la causa y el resultado se sostiene.</t>
  </si>
  <si>
    <t>•  Cada hallazgo crítico → Ficha de Brecha FB-SGC-003.</t>
  </si>
  <si>
    <t>•  El color de la columna 'Riesgo (P×I)' se asigna automáticamente.</t>
  </si>
  <si>
    <t>•  Use los 5 Porqués o Ishikawa (6M) en la columna I.</t>
  </si>
  <si>
    <t>•  Defina método, muestra y horizonte de verificación.</t>
  </si>
  <si>
    <t>•  Consolide el ranking en el Reporte RA-SGC-004.</t>
  </si>
  <si>
    <t>•  Priorice ALTO &gt; MEDIO &gt; BAJO al asignar recursos.</t>
  </si>
  <si>
    <t>•  El KPI debe ser medible: Valor actual → Meta.</t>
  </si>
  <si>
    <t>•  Solo cierre el hallazgo tras verificar eficacia real.</t>
  </si>
  <si>
    <t>TABLERO AUTOMÁTICO DEL NIVEL AVANZADO (cálculo en vivo sobre las filas 3:18)</t>
  </si>
  <si>
    <t>Hallazgos registrados</t>
  </si>
  <si>
    <t>Riesgo ALTO (≥15)</t>
  </si>
  <si>
    <t>Riesgo MEDIO (8-14)</t>
  </si>
  <si>
    <t>Acciones EN PROCESO</t>
  </si>
  <si>
    <t>Acciones PENDIENTES</t>
  </si>
  <si>
    <t>Acciones CERRADAS / eficaces</t>
  </si>
  <si>
    <t>TRAZABILIDAD DOCUMENTAL DEL SGC Y NOTA DE AUTORÍA</t>
  </si>
  <si>
    <t>Flujo de evidencia:  Matriz de Hallazgos (MH-SGC-001)  →  Ficha de Brechas (FB-SGC-003)  →  Reporte de Análisis (RA-SGC-004)  →  Revisión por la Dirección (NTP-ISO 9001:2015, 9.3).   ·   Hallazgo = evidencia evaluada frente a un criterio (ISO 19011:2018).</t>
  </si>
  <si>
    <t>Código del documento: MH-SGC-001 (Nivel Avanzado)  ·  Marca de autoría: Pierre R. — Consultor SGC  ·  Plantilla genérica y referencial, adaptable a la normativa interna de cada organización.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</si>
</sst>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13"/>
      <color rgb="FFBF9000"/>
      <name val="Arial"/>
      <charset val="1"/>
    </font>
    <font>
      <b/>
      <sz val="10"/>
      <color rgb="FF2E4D87"/>
      <name val="Arial"/>
      <charset val="1"/>
    </font>
    <font>
      <b/>
      <sz val="28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  <font>
      <b/>
      <sz val="10"/>
      <color rgb="FF1F3864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2"/>
      <color rgb="FFFFFFFF"/>
      <name val="Arial"/>
      <charset val="1"/>
    </font>
    <font>
      <i/>
      <sz val="8"/>
      <name val="Arial"/>
      <charset val="1"/>
    </font>
    <font>
      <sz val="11"/>
      <color theme="1"/>
      <name val="Arial"/>
    </font>
    <font>
      <i/>
      <sz val="8"/>
      <name val="Arial"/>
    </font>
    <font>
      <b/>
      <sz val="13"/>
      <color rgb="FFFFFFFF"/>
      <name val="Arial"/>
    </font>
    <font>
      <b/>
      <sz val="8"/>
      <color rgb="FFFFFFFF"/>
      <name val="Arial"/>
    </font>
    <font>
      <sz val="8"/>
      <name val="Arial"/>
    </font>
    <font>
      <sz val="8"/>
      <color theme="1"/>
      <name val="Arial"/>
    </font>
    <font>
      <b/>
      <sz val="10"/>
      <color rgb="FFFFFFFF"/>
      <name val="Arial"/>
    </font>
    <font>
      <b/>
      <sz val="8.5"/>
      <color rgb="FFFFFFFF"/>
      <name val="Calibri"/>
      <family val="2"/>
      <charset val="1"/>
    </font>
    <font>
      <sz val="7.5"/>
      <color rgb="FF1F3864"/>
      <name val="Calibri"/>
      <family val="2"/>
      <charset val="1"/>
    </font>
    <font>
      <b/>
      <sz val="8"/>
      <color rgb="FFFFFFFF"/>
      <name val="Calibri"/>
      <family val="2"/>
      <charset val="1"/>
    </font>
    <font>
      <b/>
      <sz val="18"/>
      <color rgb="FF385723"/>
      <name val="Calibri"/>
      <family val="2"/>
      <charset val="1"/>
    </font>
    <font>
      <sz val="8"/>
      <color rgb="FF385723"/>
      <name val="Calibri"/>
      <family val="2"/>
      <charset val="1"/>
    </font>
    <font>
      <i/>
      <sz val="8"/>
      <color rgb="FF385723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6"/>
        <bgColor rgb="FFE2EFD9"/>
      </patternFill>
    </fill>
    <fill>
      <patternFill patternType="solid">
        <fgColor rgb="FFE2EFD9"/>
        <bgColor rgb="FFDEEAF6"/>
      </patternFill>
    </fill>
    <fill>
      <patternFill patternType="solid">
        <fgColor rgb="FFFBE4D5"/>
        <bgColor rgb="FFF2E5C2"/>
      </patternFill>
    </fill>
    <fill>
      <patternFill patternType="solid">
        <fgColor rgb="FFBF9000"/>
        <bgColor rgb="FFC55A11"/>
      </patternFill>
    </fill>
    <fill>
      <patternFill patternType="solid">
        <fgColor rgb="FFF2E5C2"/>
        <bgColor rgb="FFFBE4D5"/>
      </patternFill>
    </fill>
    <fill>
      <patternFill patternType="solid">
        <fgColor rgb="FF2E74B5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E2EFD9"/>
      </patternFill>
    </fill>
    <fill>
      <patternFill patternType="solid">
        <fgColor rgb="FF5482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E2EFDA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48235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48235"/>
      </bottom>
      <diagonal/>
    </border>
    <border>
      <left style="medium">
        <color rgb="FF548235"/>
      </left>
      <right style="thin">
        <color rgb="FFBFBFBF"/>
      </right>
      <top style="medium">
        <color rgb="FF548235"/>
      </top>
      <bottom style="thin">
        <color rgb="FFBFBFBF"/>
      </bottom>
      <diagonal/>
    </border>
    <border>
      <left style="medium">
        <color rgb="FF548235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48235"/>
      </left>
      <right style="thin">
        <color rgb="FFBFBFBF"/>
      </right>
      <top style="thin">
        <color rgb="FFBFBFBF"/>
      </top>
      <bottom style="medium">
        <color rgb="FF548235"/>
      </bottom>
      <diagonal/>
    </border>
    <border>
      <left style="thin">
        <color rgb="FFBFBFBF"/>
      </left>
      <right style="medium">
        <color rgb="FF548235"/>
      </right>
      <top style="medium">
        <color rgb="FF548235"/>
      </top>
      <bottom style="thin">
        <color rgb="FFBFBFBF"/>
      </bottom>
      <diagonal/>
    </border>
    <border>
      <left style="thin">
        <color rgb="FFBFBFBF"/>
      </left>
      <right style="medium">
        <color rgb="FF548235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48235"/>
      </right>
      <top style="thin">
        <color rgb="FFBFBFBF"/>
      </top>
      <bottom style="medium">
        <color rgb="FF548235"/>
      </bottom>
      <diagonal/>
    </border>
    <border>
      <left/>
      <right/>
      <top style="medium">
        <color rgb="FF548235"/>
      </top>
      <bottom/>
      <diagonal/>
    </border>
    <border>
      <left/>
      <right/>
      <top/>
      <bottom style="medium">
        <color rgb="FF548235"/>
      </bottom>
      <diagonal/>
    </border>
    <border>
      <left style="medium">
        <color rgb="FF548235"/>
      </left>
      <right/>
      <top style="medium">
        <color rgb="FF548235"/>
      </top>
      <bottom/>
      <diagonal/>
    </border>
    <border>
      <left style="medium">
        <color rgb="FF548235"/>
      </left>
      <right/>
      <top/>
      <bottom/>
      <diagonal/>
    </border>
    <border>
      <left style="medium">
        <color rgb="FF548235"/>
      </left>
      <right/>
      <top/>
      <bottom style="medium">
        <color rgb="FF548235"/>
      </bottom>
      <diagonal/>
    </border>
    <border>
      <left/>
      <right style="medium">
        <color rgb="FF548235"/>
      </right>
      <top style="medium">
        <color rgb="FF548235"/>
      </top>
      <bottom/>
      <diagonal/>
    </border>
    <border>
      <left/>
      <right style="medium">
        <color rgb="FF548235"/>
      </right>
      <top/>
      <bottom/>
      <diagonal/>
    </border>
    <border>
      <left/>
      <right style="medium">
        <color rgb="FF548235"/>
      </right>
      <top/>
      <bottom style="medium">
        <color rgb="FF548235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1" fillId="2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0" fillId="3" borderId="1" xfId="0" applyFont="1" applyFill="1" applyBorder="1"/>
    <xf numFmtId="0" fontId="9" fillId="0" borderId="1" xfId="0" applyFont="1" applyBorder="1" applyAlignment="1">
      <alignment vertical="center" wrapText="1"/>
    </xf>
    <xf numFmtId="0" fontId="10" fillId="4" borderId="1" xfId="0" applyFont="1" applyFill="1" applyBorder="1"/>
    <xf numFmtId="0" fontId="10" fillId="5" borderId="1" xfId="0" applyFont="1" applyFill="1" applyBorder="1"/>
    <xf numFmtId="0" fontId="10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0" fillId="10" borderId="1" xfId="0" applyFont="1" applyFill="1" applyBorder="1"/>
    <xf numFmtId="0" fontId="9" fillId="0" borderId="1" xfId="0" applyFont="1" applyBorder="1" applyAlignment="1">
      <alignment horizontal="center"/>
    </xf>
    <xf numFmtId="0" fontId="13" fillId="0" borderId="0" xfId="0" applyFont="1"/>
    <xf numFmtId="0" fontId="15" fillId="11" borderId="0" xfId="0" applyFont="1" applyFill="1" applyAlignment="1">
      <alignment horizontal="center" vertical="center"/>
    </xf>
    <xf numFmtId="0" fontId="17" fillId="12" borderId="1" xfId="0" applyFont="1" applyFill="1" applyBorder="1" applyAlignment="1">
      <alignment horizontal="center" vertical="top" wrapText="1"/>
    </xf>
    <xf numFmtId="0" fontId="17" fillId="12" borderId="1" xfId="0" applyFont="1" applyFill="1" applyBorder="1" applyAlignment="1">
      <alignment horizontal="left" vertical="top" wrapText="1"/>
    </xf>
    <xf numFmtId="9" fontId="17" fillId="12" borderId="1" xfId="0" applyNumberFormat="1" applyFont="1" applyFill="1" applyBorder="1" applyAlignment="1">
      <alignment horizontal="center" vertical="top" wrapText="1"/>
    </xf>
    <xf numFmtId="0" fontId="17" fillId="13" borderId="1" xfId="0" applyFont="1" applyFill="1" applyBorder="1" applyAlignment="1">
      <alignment horizontal="center" vertical="top" wrapText="1"/>
    </xf>
    <xf numFmtId="0" fontId="17" fillId="13" borderId="1" xfId="0" applyFont="1" applyFill="1" applyBorder="1" applyAlignment="1">
      <alignment horizontal="left" vertical="top" wrapText="1"/>
    </xf>
    <xf numFmtId="9" fontId="17" fillId="13" borderId="1" xfId="0" applyNumberFormat="1" applyFont="1" applyFill="1" applyBorder="1" applyAlignment="1">
      <alignment horizontal="center" vertical="top" wrapText="1"/>
    </xf>
    <xf numFmtId="0" fontId="16" fillId="11" borderId="2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top" wrapText="1"/>
    </xf>
    <xf numFmtId="0" fontId="17" fillId="13" borderId="5" xfId="0" applyFont="1" applyFill="1" applyBorder="1" applyAlignment="1">
      <alignment horizontal="center" vertical="top" wrapText="1"/>
    </xf>
    <xf numFmtId="0" fontId="16" fillId="11" borderId="7" xfId="0" applyFont="1" applyFill="1" applyBorder="1" applyAlignment="1">
      <alignment horizontal="center" vertical="center" wrapText="1"/>
    </xf>
    <xf numFmtId="0" fontId="17" fillId="12" borderId="8" xfId="0" applyFont="1" applyFill="1" applyBorder="1" applyAlignment="1">
      <alignment horizontal="left" vertical="top" wrapText="1"/>
    </xf>
    <xf numFmtId="0" fontId="17" fillId="13" borderId="8" xfId="0" applyFont="1" applyFill="1" applyBorder="1" applyAlignment="1">
      <alignment horizontal="left" vertical="top" wrapText="1"/>
    </xf>
    <xf numFmtId="0" fontId="14" fillId="0" borderId="0" xfId="0" applyFont="1" applyFill="1"/>
    <xf numFmtId="0" fontId="13" fillId="0" borderId="0" xfId="0" applyFont="1" applyFill="1"/>
    <xf numFmtId="0" fontId="0" fillId="0" borderId="0" xfId="0"/>
    <xf numFmtId="0" fontId="0" fillId="0" borderId="0" xfId="0" applyFill="1" applyBorder="1"/>
    <xf numFmtId="0" fontId="19" fillId="14" borderId="0" xfId="0" applyFont="1" applyFill="1" applyAlignment="1">
      <alignment horizontal="left" vertical="center"/>
    </xf>
    <xf numFmtId="0" fontId="0" fillId="0" borderId="0" xfId="0" applyBorder="1"/>
    <xf numFmtId="0" fontId="0" fillId="0" borderId="10" xfId="0" applyBorder="1"/>
    <xf numFmtId="0" fontId="0" fillId="0" borderId="11" xfId="0" applyFill="1" applyBorder="1"/>
    <xf numFmtId="0" fontId="20" fillId="11" borderId="12" xfId="0" applyFont="1" applyFill="1" applyBorder="1" applyAlignment="1">
      <alignment horizontal="center" vertical="center"/>
    </xf>
    <xf numFmtId="0" fontId="21" fillId="15" borderId="13" xfId="0" applyFont="1" applyFill="1" applyBorder="1" applyAlignment="1">
      <alignment horizontal="left" vertical="top" wrapText="1"/>
    </xf>
    <xf numFmtId="0" fontId="21" fillId="12" borderId="13" xfId="0" applyFont="1" applyFill="1" applyBorder="1" applyAlignment="1">
      <alignment horizontal="left" vertical="top" wrapText="1"/>
    </xf>
    <xf numFmtId="0" fontId="21" fillId="12" borderId="14" xfId="0" applyFont="1" applyFill="1" applyBorder="1" applyAlignment="1">
      <alignment horizontal="left" vertical="top" wrapText="1"/>
    </xf>
    <xf numFmtId="0" fontId="0" fillId="0" borderId="16" xfId="0" applyFill="1" applyBorder="1"/>
    <xf numFmtId="0" fontId="0" fillId="0" borderId="17" xfId="0" applyFill="1" applyBorder="1"/>
    <xf numFmtId="0" fontId="0" fillId="0" borderId="10" xfId="0" applyFill="1" applyBorder="1"/>
    <xf numFmtId="0" fontId="0" fillId="0" borderId="15" xfId="0" applyFill="1" applyBorder="1"/>
    <xf numFmtId="0" fontId="22" fillId="11" borderId="18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8" xfId="0" applyFill="1" applyBorder="1"/>
    <xf numFmtId="0" fontId="23" fillId="15" borderId="18" xfId="0" applyFont="1" applyFill="1" applyBorder="1" applyAlignment="1">
      <alignment horizontal="center" vertical="center"/>
    </xf>
    <xf numFmtId="0" fontId="24" fillId="13" borderId="0" xfId="0" applyFont="1" applyFill="1" applyAlignment="1">
      <alignment horizontal="left" vertical="center" wrapText="1"/>
    </xf>
    <xf numFmtId="0" fontId="25" fillId="15" borderId="0" xfId="0" applyFont="1" applyFill="1" applyAlignment="1">
      <alignment horizontal="left" vertical="center" wrapText="1"/>
    </xf>
    <xf numFmtId="0" fontId="18" fillId="13" borderId="6" xfId="0" applyFont="1" applyFill="1" applyBorder="1" applyAlignment="1">
      <alignment horizontal="center" vertical="top" wrapText="1"/>
    </xf>
    <xf numFmtId="0" fontId="18" fillId="13" borderId="3" xfId="0" applyFont="1" applyFill="1" applyBorder="1" applyAlignment="1">
      <alignment horizontal="center" vertical="top" wrapText="1"/>
    </xf>
    <xf numFmtId="0" fontId="18" fillId="13" borderId="3" xfId="0" applyFont="1" applyFill="1" applyBorder="1" applyAlignment="1">
      <alignment horizontal="left" vertical="top" wrapText="1"/>
    </xf>
    <xf numFmtId="0" fontId="18" fillId="13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11">
    <dxf>
      <font>
        <b/>
        <i val="0"/>
        <color rgb="FF375623"/>
      </font>
      <fill>
        <patternFill patternType="solid">
          <fgColor indexed="64"/>
          <bgColor rgb="FFC6E0B4"/>
        </patternFill>
      </fill>
    </dxf>
    <dxf>
      <font>
        <b/>
        <i val="0"/>
        <color rgb="FF833C00"/>
      </font>
      <fill>
        <patternFill patternType="solid">
          <fgColor indexed="64"/>
          <bgColor rgb="FFF8CBAD"/>
        </patternFill>
      </fill>
    </dxf>
    <dxf>
      <font>
        <b/>
        <i val="0"/>
        <color rgb="FF7F6000"/>
      </font>
      <fill>
        <patternFill patternType="solid">
          <fgColor indexed="64"/>
          <bgColor rgb="FFFFE699"/>
        </patternFill>
      </fill>
    </dxf>
    <dxf>
      <font>
        <b/>
        <i val="0"/>
        <color rgb="FF1F4E79"/>
      </font>
      <fill>
        <patternFill patternType="solid">
          <fgColor indexed="64"/>
          <bgColor rgb="FFBDD7EE"/>
        </patternFill>
      </fill>
    </dxf>
    <dxf>
      <font>
        <b/>
        <i val="0"/>
        <color rgb="FFFFFFFF"/>
      </font>
      <fill>
        <patternFill patternType="solid">
          <fgColor indexed="64"/>
          <bgColor rgb="FFFF5050"/>
        </patternFill>
      </fill>
    </dxf>
    <dxf>
      <font>
        <b/>
        <i val="0"/>
        <color rgb="FF9C0006"/>
      </font>
      <fill>
        <patternFill patternType="solid">
          <fgColor indexed="64"/>
          <bgColor rgb="FFF4B0B0"/>
        </patternFill>
      </fill>
    </dxf>
    <dxf>
      <font>
        <b/>
        <i val="0"/>
        <color rgb="FF9C6500"/>
      </font>
      <fill>
        <patternFill patternType="solid">
          <fgColor indexed="64"/>
          <bgColor rgb="FFFFE699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699"/>
        </patternFill>
      </fill>
    </dxf>
    <dxf>
      <font>
        <b/>
        <i val="0"/>
        <color rgb="FF9C0006"/>
      </font>
      <fill>
        <patternFill patternType="solid">
          <fgColor indexed="64"/>
          <bgColor rgb="FFF4B0B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BE4D5"/>
      <rgbColor rgb="FF99CCFF"/>
      <rgbColor rgb="FFFF99CC"/>
      <rgbColor rgb="FFCC99FF"/>
      <rgbColor rgb="FFF2E5C2"/>
      <rgbColor rgb="FF2E74B5"/>
      <rgbColor rgb="FF33CCCC"/>
      <rgbColor rgb="FF99CC00"/>
      <rgbColor rgb="FFFFCC00"/>
      <rgbColor rgb="FFBF90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4D8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9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22" customWidth="1"/>
    <col min="3" max="6" width="26" customWidth="1"/>
    <col min="7" max="7" width="4" customWidth="1"/>
  </cols>
  <sheetData>
    <row r="2" spans="2:6" ht="16.5" x14ac:dyDescent="0.25">
      <c r="B2" s="11" t="s">
        <v>0</v>
      </c>
      <c r="C2" s="11"/>
      <c r="D2" s="11"/>
      <c r="E2" s="11"/>
      <c r="F2" s="11"/>
    </row>
    <row r="3" spans="2:6" x14ac:dyDescent="0.25">
      <c r="B3" s="10" t="s">
        <v>1</v>
      </c>
      <c r="C3" s="10"/>
      <c r="D3" s="10"/>
      <c r="E3" s="10"/>
      <c r="F3" s="10"/>
    </row>
    <row r="5" spans="2:6" x14ac:dyDescent="0.25">
      <c r="B5" s="9" t="s">
        <v>2</v>
      </c>
      <c r="C5" s="9"/>
      <c r="D5" s="9"/>
      <c r="E5" s="9"/>
      <c r="F5" s="9"/>
    </row>
    <row r="6" spans="2:6" x14ac:dyDescent="0.25">
      <c r="B6" s="9"/>
      <c r="C6" s="9"/>
      <c r="D6" s="9"/>
      <c r="E6" s="9"/>
      <c r="F6" s="9"/>
    </row>
    <row r="7" spans="2:6" ht="15" customHeight="1" x14ac:dyDescent="0.25">
      <c r="B7" s="8" t="s">
        <v>3</v>
      </c>
      <c r="C7" s="8"/>
      <c r="D7" s="8"/>
      <c r="E7" s="8"/>
      <c r="F7" s="8"/>
    </row>
    <row r="9" spans="2:6" x14ac:dyDescent="0.25">
      <c r="B9" s="7" t="s">
        <v>4</v>
      </c>
      <c r="C9" s="7"/>
      <c r="D9" s="7"/>
      <c r="E9" s="7"/>
      <c r="F9" s="7"/>
    </row>
    <row r="10" spans="2:6" x14ac:dyDescent="0.25">
      <c r="B10" s="6" t="s">
        <v>5</v>
      </c>
      <c r="C10" s="6"/>
      <c r="D10" s="6"/>
      <c r="E10" s="6"/>
      <c r="F10" s="6"/>
    </row>
    <row r="12" spans="2:6" x14ac:dyDescent="0.25">
      <c r="B12" s="12" t="s">
        <v>6</v>
      </c>
    </row>
    <row r="13" spans="2:6" x14ac:dyDescent="0.25">
      <c r="B13" s="13" t="s">
        <v>7</v>
      </c>
      <c r="C13" s="13" t="s">
        <v>8</v>
      </c>
      <c r="D13" s="13" t="s">
        <v>9</v>
      </c>
      <c r="E13" s="13" t="s">
        <v>10</v>
      </c>
      <c r="F13" s="13" t="s">
        <v>11</v>
      </c>
    </row>
    <row r="14" spans="2:6" x14ac:dyDescent="0.25"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15</v>
      </c>
    </row>
    <row r="16" spans="2:6" x14ac:dyDescent="0.25">
      <c r="B16" s="12" t="s">
        <v>16</v>
      </c>
    </row>
    <row r="17" spans="2:6" ht="25.5" customHeight="1" x14ac:dyDescent="0.25">
      <c r="B17" s="15" t="s">
        <v>17</v>
      </c>
      <c r="C17" s="5" t="s">
        <v>18</v>
      </c>
      <c r="D17" s="5"/>
      <c r="E17" s="5"/>
      <c r="F17" s="5"/>
    </row>
    <row r="18" spans="2:6" ht="25.5" customHeight="1" x14ac:dyDescent="0.25">
      <c r="B18" s="17" t="s">
        <v>19</v>
      </c>
      <c r="C18" s="5" t="s">
        <v>20</v>
      </c>
      <c r="D18" s="5"/>
      <c r="E18" s="5"/>
      <c r="F18" s="5"/>
    </row>
    <row r="19" spans="2:6" ht="25.5" customHeight="1" x14ac:dyDescent="0.25">
      <c r="B19" s="18" t="s">
        <v>21</v>
      </c>
      <c r="C19" s="5" t="s">
        <v>22</v>
      </c>
      <c r="D19" s="5"/>
      <c r="E19" s="5"/>
      <c r="F19" s="5"/>
    </row>
  </sheetData>
  <mergeCells count="9">
    <mergeCell ref="B10:F10"/>
    <mergeCell ref="C17:F17"/>
    <mergeCell ref="C18:F18"/>
    <mergeCell ref="C19:F19"/>
    <mergeCell ref="B2:F2"/>
    <mergeCell ref="B3:F3"/>
    <mergeCell ref="B5:F6"/>
    <mergeCell ref="B7:F7"/>
    <mergeCell ref="B9:F9"/>
  </mergeCells>
  <pageMargins left="0.75" right="0.75" top="1" bottom="1" header="0.5" footer="0.5"/>
  <pageSetup paperSize="9" orientation="portrait" horizontalDpi="300" verticalDpi="300"/>
  <headerFooter>
    <oddHeader>&amp;C&amp;"Arial,Bold"&amp;8 MH-SGC-001 — Matriz de Hallazgos · Versión 01&amp;R&amp;"Arial,Bold"&amp;8 © Pierre R.</oddHeader>
    <oddFooter>&amp;L&amp;8 Plantilla referencial SGC — Elaborado por Pierre R.&amp;R&amp;8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42" customWidth="1"/>
    <col min="3" max="3" width="95" customWidth="1"/>
  </cols>
  <sheetData>
    <row r="1" spans="1:3" ht="24" customHeight="1" x14ac:dyDescent="0.25">
      <c r="A1" s="4" t="s">
        <v>23</v>
      </c>
      <c r="B1" s="4"/>
      <c r="C1" s="4"/>
    </row>
    <row r="2" spans="1:3" ht="30" customHeight="1" x14ac:dyDescent="0.25">
      <c r="B2" s="19" t="s">
        <v>24</v>
      </c>
      <c r="C2" s="16" t="s">
        <v>25</v>
      </c>
    </row>
    <row r="3" spans="1:3" ht="30" customHeight="1" x14ac:dyDescent="0.25">
      <c r="B3" s="19" t="s">
        <v>26</v>
      </c>
      <c r="C3" s="16" t="s">
        <v>27</v>
      </c>
    </row>
    <row r="4" spans="1:3" ht="30" customHeight="1" x14ac:dyDescent="0.25">
      <c r="B4" s="19" t="s">
        <v>28</v>
      </c>
      <c r="C4" s="16" t="s">
        <v>29</v>
      </c>
    </row>
    <row r="5" spans="1:3" ht="30" customHeight="1" x14ac:dyDescent="0.25">
      <c r="B5" s="19" t="s">
        <v>30</v>
      </c>
      <c r="C5" s="16" t="s">
        <v>31</v>
      </c>
    </row>
    <row r="6" spans="1:3" ht="30" customHeight="1" x14ac:dyDescent="0.25">
      <c r="B6" s="19" t="s">
        <v>32</v>
      </c>
      <c r="C6" s="16" t="s">
        <v>33</v>
      </c>
    </row>
    <row r="7" spans="1:3" ht="30" customHeight="1" x14ac:dyDescent="0.25">
      <c r="B7" s="19" t="s">
        <v>34</v>
      </c>
      <c r="C7" s="16" t="s">
        <v>35</v>
      </c>
    </row>
    <row r="8" spans="1:3" ht="30" customHeight="1" x14ac:dyDescent="0.25">
      <c r="B8" s="19" t="s">
        <v>36</v>
      </c>
      <c r="C8" s="16" t="s">
        <v>37</v>
      </c>
    </row>
    <row r="9" spans="1:3" ht="30" customHeight="1" x14ac:dyDescent="0.25">
      <c r="B9" s="19" t="s">
        <v>38</v>
      </c>
      <c r="C9" s="16" t="s">
        <v>39</v>
      </c>
    </row>
    <row r="10" spans="1:3" ht="30" customHeight="1" x14ac:dyDescent="0.25">
      <c r="B10" s="19" t="s">
        <v>40</v>
      </c>
      <c r="C10" s="16" t="s">
        <v>41</v>
      </c>
    </row>
    <row r="11" spans="1:3" ht="30" customHeight="1" x14ac:dyDescent="0.25">
      <c r="B11" s="19" t="s">
        <v>42</v>
      </c>
      <c r="C11" s="16" t="s">
        <v>43</v>
      </c>
    </row>
    <row r="12" spans="1:3" ht="30" customHeight="1" x14ac:dyDescent="0.25">
      <c r="B12" s="19" t="s">
        <v>44</v>
      </c>
      <c r="C12" s="16" t="s">
        <v>45</v>
      </c>
    </row>
  </sheetData>
  <mergeCells count="1">
    <mergeCell ref="A1:C1"/>
  </mergeCells>
  <pageMargins left="0.75" right="0.75" top="1" bottom="1" header="0.5" footer="0.5"/>
  <pageSetup paperSize="9" orientation="portrait" horizontalDpi="300" verticalDpi="300"/>
  <headerFooter>
    <oddHeader>&amp;C&amp;"Arial,Bold"&amp;8 MH-SGC-001 — Matriz de Hallazgos · Versión 01&amp;R&amp;"Arial,Bold"&amp;8 © Pierre R.</oddHeader>
    <oddFooter>&amp;L&amp;8 Plantilla referencial SGC — Elaborado por Pierre R.&amp;R&amp;8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6" customWidth="1"/>
    <col min="2" max="2" width="12" customWidth="1"/>
    <col min="3" max="3" width="18" customWidth="1"/>
    <col min="4" max="4" width="20" customWidth="1"/>
    <col min="5" max="5" width="28" customWidth="1"/>
    <col min="6" max="6" width="34" customWidth="1"/>
    <col min="7" max="7" width="16" customWidth="1"/>
    <col min="8" max="8" width="30" customWidth="1"/>
    <col min="9" max="9" width="24" customWidth="1"/>
    <col min="10" max="10" width="16" customWidth="1"/>
  </cols>
  <sheetData>
    <row r="1" spans="1:10" ht="24" customHeight="1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</row>
    <row r="2" spans="1:10" ht="36" x14ac:dyDescent="0.25">
      <c r="A2" s="20" t="s">
        <v>47</v>
      </c>
      <c r="B2" s="20" t="s">
        <v>8</v>
      </c>
      <c r="C2" s="20" t="s">
        <v>48</v>
      </c>
      <c r="D2" s="20" t="s">
        <v>49</v>
      </c>
      <c r="E2" s="20" t="s">
        <v>50</v>
      </c>
      <c r="F2" s="20" t="s">
        <v>51</v>
      </c>
      <c r="G2" s="20" t="s">
        <v>52</v>
      </c>
      <c r="H2" s="20" t="s">
        <v>53</v>
      </c>
      <c r="I2" s="20" t="s">
        <v>54</v>
      </c>
      <c r="J2" s="20" t="s">
        <v>55</v>
      </c>
    </row>
    <row r="3" spans="1:10" ht="25.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25.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 ht="25.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ht="25.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</row>
    <row r="7" spans="1:10" ht="25.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</row>
    <row r="8" spans="1:10" ht="25.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0" ht="25.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</row>
    <row r="10" spans="1:10" ht="25.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5.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25.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25.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25.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25.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25.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25.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</row>
  </sheetData>
  <mergeCells count="1">
    <mergeCell ref="A1:J1"/>
  </mergeCells>
  <dataValidations count="1">
    <dataValidation type="list" allowBlank="1" sqref="G3:G17" xr:uid="{00000000-0002-0000-0200-000000000000}">
      <formula1>"Problema,Oportunidad,Mejora"</formula1>
      <formula2>0</formula2>
    </dataValidation>
  </dataValidations>
  <pageMargins left="0.75" right="0.75" top="1" bottom="1" header="0.5" footer="0.5"/>
  <pageSetup paperSize="9" orientation="portrait" horizontalDpi="300" verticalDpi="300"/>
  <headerFooter>
    <oddHeader>&amp;C&amp;"Arial,Bold"&amp;8 MH-SGC-001 — Matriz de Hallazgos · Versión 01&amp;R&amp;"Arial,Bold"&amp;8 © Pierre R.</oddHeader>
    <oddFooter>&amp;L&amp;8 Plantilla referencial SGC — Elaborado por Pierre R.&amp;R&amp;8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tabSelected="1" zoomScaleNormal="100" workbookViewId="0">
      <pane ySplit="2" topLeftCell="A3" activePane="bottomLeft" state="frozen"/>
      <selection pane="bottomLeft" sqref="A1:O1"/>
    </sheetView>
  </sheetViews>
  <sheetFormatPr baseColWidth="10" defaultColWidth="8.7109375" defaultRowHeight="15" x14ac:dyDescent="0.25"/>
  <cols>
    <col min="1" max="1" width="6" customWidth="1"/>
    <col min="2" max="2" width="11" customWidth="1"/>
    <col min="3" max="3" width="16" customWidth="1"/>
    <col min="4" max="4" width="32" customWidth="1"/>
    <col min="5" max="5" width="20" customWidth="1"/>
    <col min="6" max="6" width="22" customWidth="1"/>
    <col min="7" max="7" width="24" customWidth="1"/>
    <col min="8" max="8" width="11" customWidth="1"/>
    <col min="9" max="10" width="10" customWidth="1"/>
    <col min="11" max="11" width="13" customWidth="1"/>
    <col min="12" max="12" width="28" customWidth="1"/>
    <col min="13" max="13" width="15" customWidth="1"/>
    <col min="14" max="14" width="11" customWidth="1"/>
    <col min="15" max="15" width="13" customWidth="1"/>
  </cols>
  <sheetData>
    <row r="1" spans="1:15" ht="24" customHeight="1" x14ac:dyDescent="0.25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4" x14ac:dyDescent="0.25">
      <c r="A2" s="21" t="s">
        <v>47</v>
      </c>
      <c r="B2" s="21" t="s">
        <v>8</v>
      </c>
      <c r="C2" s="21" t="s">
        <v>48</v>
      </c>
      <c r="D2" s="21" t="s">
        <v>57</v>
      </c>
      <c r="E2" s="21" t="s">
        <v>58</v>
      </c>
      <c r="F2" s="21" t="s">
        <v>59</v>
      </c>
      <c r="G2" s="21" t="s">
        <v>60</v>
      </c>
      <c r="H2" s="21" t="s">
        <v>61</v>
      </c>
      <c r="I2" s="21" t="s">
        <v>62</v>
      </c>
      <c r="J2" s="21" t="s">
        <v>63</v>
      </c>
      <c r="K2" s="21" t="s">
        <v>64</v>
      </c>
      <c r="L2" s="21" t="s">
        <v>65</v>
      </c>
      <c r="M2" s="21" t="s">
        <v>55</v>
      </c>
      <c r="N2" s="21" t="s">
        <v>66</v>
      </c>
      <c r="O2" s="21" t="s">
        <v>67</v>
      </c>
    </row>
    <row r="3" spans="1:15" ht="25.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 t="str">
        <f t="shared" ref="J3:J17" si="0">IF(AND(H3&lt;&gt;"",I3&lt;&gt;""),H3*I3,"")</f>
        <v/>
      </c>
      <c r="K3" s="16" t="str">
        <f t="shared" ref="K3:K17" si="1">IF(J3="","",IF(J3&gt;=15,"ALTO",IF(J3&gt;=8,"MEDIO","BAJO")))</f>
        <v/>
      </c>
      <c r="L3" s="16"/>
      <c r="M3" s="16"/>
      <c r="N3" s="16"/>
      <c r="O3" s="16"/>
    </row>
    <row r="4" spans="1:15" ht="25.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 t="str">
        <f t="shared" si="0"/>
        <v/>
      </c>
      <c r="K4" s="16" t="str">
        <f t="shared" si="1"/>
        <v/>
      </c>
      <c r="L4" s="16"/>
      <c r="M4" s="16"/>
      <c r="N4" s="16"/>
      <c r="O4" s="16"/>
    </row>
    <row r="5" spans="1:15" ht="25.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 t="str">
        <f t="shared" si="0"/>
        <v/>
      </c>
      <c r="K5" s="16" t="str">
        <f t="shared" si="1"/>
        <v/>
      </c>
      <c r="L5" s="16"/>
      <c r="M5" s="16"/>
      <c r="N5" s="16"/>
      <c r="O5" s="16"/>
    </row>
    <row r="6" spans="1:15" ht="25.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 t="str">
        <f t="shared" si="0"/>
        <v/>
      </c>
      <c r="K6" s="16" t="str">
        <f t="shared" si="1"/>
        <v/>
      </c>
      <c r="L6" s="16"/>
      <c r="M6" s="16"/>
      <c r="N6" s="16"/>
      <c r="O6" s="16"/>
    </row>
    <row r="7" spans="1:15" ht="25.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 t="str">
        <f t="shared" si="0"/>
        <v/>
      </c>
      <c r="K7" s="16" t="str">
        <f t="shared" si="1"/>
        <v/>
      </c>
      <c r="L7" s="16"/>
      <c r="M7" s="16"/>
      <c r="N7" s="16"/>
      <c r="O7" s="16"/>
    </row>
    <row r="8" spans="1:15" ht="25.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 t="str">
        <f t="shared" si="0"/>
        <v/>
      </c>
      <c r="K8" s="16" t="str">
        <f t="shared" si="1"/>
        <v/>
      </c>
      <c r="L8" s="16"/>
      <c r="M8" s="16"/>
      <c r="N8" s="16"/>
      <c r="O8" s="16"/>
    </row>
    <row r="9" spans="1:15" ht="25.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 t="str">
        <f t="shared" si="0"/>
        <v/>
      </c>
      <c r="K9" s="16" t="str">
        <f t="shared" si="1"/>
        <v/>
      </c>
      <c r="L9" s="16"/>
      <c r="M9" s="16"/>
      <c r="N9" s="16"/>
      <c r="O9" s="16"/>
    </row>
    <row r="10" spans="1:15" ht="25.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 t="str">
        <f t="shared" si="0"/>
        <v/>
      </c>
      <c r="K10" s="16" t="str">
        <f t="shared" si="1"/>
        <v/>
      </c>
      <c r="L10" s="16"/>
      <c r="M10" s="16"/>
      <c r="N10" s="16"/>
      <c r="O10" s="16"/>
    </row>
    <row r="11" spans="1:15" ht="25.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 t="str">
        <f t="shared" si="0"/>
        <v/>
      </c>
      <c r="K11" s="16" t="str">
        <f t="shared" si="1"/>
        <v/>
      </c>
      <c r="L11" s="16"/>
      <c r="M11" s="16"/>
      <c r="N11" s="16"/>
      <c r="O11" s="16"/>
    </row>
    <row r="12" spans="1:15" ht="25.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 t="str">
        <f t="shared" si="0"/>
        <v/>
      </c>
      <c r="K12" s="16" t="str">
        <f t="shared" si="1"/>
        <v/>
      </c>
      <c r="L12" s="16"/>
      <c r="M12" s="16"/>
      <c r="N12" s="16"/>
      <c r="O12" s="16"/>
    </row>
    <row r="13" spans="1:15" ht="25.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 t="str">
        <f t="shared" si="0"/>
        <v/>
      </c>
      <c r="K13" s="16" t="str">
        <f t="shared" si="1"/>
        <v/>
      </c>
      <c r="L13" s="16"/>
      <c r="M13" s="16"/>
      <c r="N13" s="16"/>
      <c r="O13" s="16"/>
    </row>
    <row r="14" spans="1:15" ht="25.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 t="str">
        <f t="shared" si="0"/>
        <v/>
      </c>
      <c r="K14" s="16" t="str">
        <f t="shared" si="1"/>
        <v/>
      </c>
      <c r="L14" s="16"/>
      <c r="M14" s="16"/>
      <c r="N14" s="16"/>
      <c r="O14" s="16"/>
    </row>
    <row r="15" spans="1:15" ht="25.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 t="str">
        <f t="shared" si="0"/>
        <v/>
      </c>
      <c r="K15" s="16" t="str">
        <f t="shared" si="1"/>
        <v/>
      </c>
      <c r="L15" s="16"/>
      <c r="M15" s="16"/>
      <c r="N15" s="16"/>
      <c r="O15" s="16"/>
    </row>
    <row r="16" spans="1:15" ht="25.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 t="str">
        <f t="shared" si="0"/>
        <v/>
      </c>
      <c r="K16" s="16" t="str">
        <f t="shared" si="1"/>
        <v/>
      </c>
      <c r="L16" s="16"/>
      <c r="M16" s="16"/>
      <c r="N16" s="16"/>
      <c r="O16" s="16"/>
    </row>
    <row r="17" spans="1:15" ht="25.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 t="str">
        <f t="shared" si="0"/>
        <v/>
      </c>
      <c r="K17" s="16" t="str">
        <f t="shared" si="1"/>
        <v/>
      </c>
      <c r="L17" s="16"/>
      <c r="M17" s="16"/>
      <c r="N17" s="16"/>
      <c r="O17" s="16"/>
    </row>
    <row r="19" spans="1:15" x14ac:dyDescent="0.25">
      <c r="A19" s="22" t="s">
        <v>68</v>
      </c>
    </row>
  </sheetData>
  <mergeCells count="1">
    <mergeCell ref="A1:O1"/>
  </mergeCells>
  <dataValidations count="2">
    <dataValidation type="list" allowBlank="1" sqref="H3:I17" xr:uid="{00000000-0002-0000-0300-000000000000}">
      <formula1>"1,2,3,4,5"</formula1>
      <formula2>0</formula2>
    </dataValidation>
    <dataValidation type="list" allowBlank="1" sqref="O3:O17" xr:uid="{00000000-0002-0000-0300-000001000000}">
      <formula1>"Pendiente,En proceso,Cerrado,Verificado eficaz"</formula1>
      <formula2>0</formula2>
    </dataValidation>
  </dataValidations>
  <pageMargins left="0.75" right="0.75" top="1" bottom="1" header="0.5" footer="0.5"/>
  <pageSetup paperSize="9" orientation="portrait" horizontalDpi="300" verticalDpi="300"/>
  <headerFooter>
    <oddHeader>&amp;C&amp;"Arial,Bold"&amp;8 MH-SGC-001 — Matriz de Hallazgos · Versión 01&amp;R&amp;"Arial,Bold"&amp;8 © Pierre R.</oddHeader>
    <oddFooter>&amp;L&amp;8 Plantilla referencial SGC — Elaborado por Pierre R.&amp;R&amp;8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60"/>
  <sheetViews>
    <sheetView topLeftCell="D1" zoomScaleNormal="100" workbookViewId="0">
      <pane ySplit="2" topLeftCell="A3" activePane="bottomLeft" state="frozen"/>
      <selection activeCell="B1" sqref="B1"/>
      <selection pane="bottomLeft" sqref="A1:T1"/>
    </sheetView>
  </sheetViews>
  <sheetFormatPr baseColWidth="10" defaultColWidth="8.7109375" defaultRowHeight="15" x14ac:dyDescent="0.25"/>
  <cols>
    <col min="1" max="1" width="4.140625" customWidth="1"/>
    <col min="2" max="2" width="8.7109375" customWidth="1"/>
    <col min="3" max="3" width="11.85546875" customWidth="1"/>
    <col min="4" max="4" width="22.85546875" customWidth="1"/>
    <col min="5" max="5" width="20.5703125" customWidth="1"/>
    <col min="6" max="6" width="18.28515625" customWidth="1"/>
    <col min="7" max="7" width="11.42578125" customWidth="1"/>
    <col min="8" max="8" width="7.5703125" customWidth="1"/>
    <col min="9" max="9" width="26.7109375" customWidth="1"/>
    <col min="10" max="10" width="7.28515625" customWidth="1"/>
    <col min="11" max="11" width="15.28515625" customWidth="1"/>
    <col min="12" max="13" width="8" customWidth="1"/>
    <col min="14" max="14" width="8.7109375" customWidth="1"/>
    <col min="15" max="15" width="24.7109375" customWidth="1"/>
    <col min="16" max="16" width="11.42578125" customWidth="1"/>
    <col min="17" max="17" width="12.140625" customWidth="1"/>
    <col min="18" max="19" width="9.5703125" customWidth="1"/>
    <col min="20" max="20" width="24.7109375" customWidth="1"/>
  </cols>
  <sheetData>
    <row r="1" spans="1:20" ht="39.950000000000003" customHeight="1" thickBot="1" x14ac:dyDescent="0.3">
      <c r="A1" s="26" t="s">
        <v>69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45.95" customHeight="1" x14ac:dyDescent="0.25">
      <c r="A2" s="34" t="s">
        <v>47</v>
      </c>
      <c r="B2" s="33" t="s">
        <v>8</v>
      </c>
      <c r="C2" s="33" t="s">
        <v>70</v>
      </c>
      <c r="D2" s="33" t="s">
        <v>71</v>
      </c>
      <c r="E2" s="33" t="s">
        <v>72</v>
      </c>
      <c r="F2" s="33" t="s">
        <v>73</v>
      </c>
      <c r="G2" s="33" t="s">
        <v>74</v>
      </c>
      <c r="H2" s="33" t="s">
        <v>75</v>
      </c>
      <c r="I2" s="33" t="s">
        <v>76</v>
      </c>
      <c r="J2" s="33" t="s">
        <v>63</v>
      </c>
      <c r="K2" s="33" t="s">
        <v>77</v>
      </c>
      <c r="L2" s="33" t="s">
        <v>78</v>
      </c>
      <c r="M2" s="33" t="s">
        <v>79</v>
      </c>
      <c r="N2" s="33" t="s">
        <v>80</v>
      </c>
      <c r="O2" s="33" t="s">
        <v>81</v>
      </c>
      <c r="P2" s="33" t="s">
        <v>82</v>
      </c>
      <c r="Q2" s="33" t="s">
        <v>55</v>
      </c>
      <c r="R2" s="33" t="s">
        <v>66</v>
      </c>
      <c r="S2" s="33" t="s">
        <v>67</v>
      </c>
      <c r="T2" s="37" t="s">
        <v>83</v>
      </c>
    </row>
    <row r="3" spans="1:20" ht="25.5" customHeight="1" x14ac:dyDescent="0.25">
      <c r="A3" s="35">
        <v>1</v>
      </c>
      <c r="B3" s="27" t="s">
        <v>94</v>
      </c>
      <c r="C3" s="28" t="s">
        <v>95</v>
      </c>
      <c r="D3" s="28" t="s">
        <v>96</v>
      </c>
      <c r="E3" s="28" t="s">
        <v>97</v>
      </c>
      <c r="F3" s="28" t="s">
        <v>98</v>
      </c>
      <c r="G3" s="27" t="s">
        <v>99</v>
      </c>
      <c r="H3" s="27">
        <v>14</v>
      </c>
      <c r="I3" s="28" t="s">
        <v>100</v>
      </c>
      <c r="J3" s="27">
        <f>4*4</f>
        <v>16</v>
      </c>
      <c r="K3" s="28" t="s">
        <v>101</v>
      </c>
      <c r="L3" s="29">
        <v>0.65</v>
      </c>
      <c r="M3" s="27" t="s">
        <v>102</v>
      </c>
      <c r="N3" s="27" t="s">
        <v>103</v>
      </c>
      <c r="O3" s="28" t="s">
        <v>104</v>
      </c>
      <c r="P3" s="27" t="s">
        <v>105</v>
      </c>
      <c r="Q3" s="28" t="s">
        <v>106</v>
      </c>
      <c r="R3" s="27" t="s">
        <v>107</v>
      </c>
      <c r="S3" s="27" t="s">
        <v>108</v>
      </c>
      <c r="T3" s="38" t="s">
        <v>109</v>
      </c>
    </row>
    <row r="4" spans="1:20" ht="25.5" customHeight="1" x14ac:dyDescent="0.25">
      <c r="A4" s="36">
        <v>2</v>
      </c>
      <c r="B4" s="30" t="s">
        <v>94</v>
      </c>
      <c r="C4" s="31" t="s">
        <v>110</v>
      </c>
      <c r="D4" s="31" t="s">
        <v>111</v>
      </c>
      <c r="E4" s="31" t="s">
        <v>112</v>
      </c>
      <c r="F4" s="31" t="s">
        <v>113</v>
      </c>
      <c r="G4" s="30" t="s">
        <v>114</v>
      </c>
      <c r="H4" s="30">
        <v>22</v>
      </c>
      <c r="I4" s="31" t="s">
        <v>115</v>
      </c>
      <c r="J4" s="30">
        <f>3*5</f>
        <v>15</v>
      </c>
      <c r="K4" s="31" t="s">
        <v>116</v>
      </c>
      <c r="L4" s="32">
        <v>0.71</v>
      </c>
      <c r="M4" s="30" t="s">
        <v>117</v>
      </c>
      <c r="N4" s="30" t="s">
        <v>118</v>
      </c>
      <c r="O4" s="31" t="s">
        <v>119</v>
      </c>
      <c r="P4" s="30" t="s">
        <v>120</v>
      </c>
      <c r="Q4" s="31" t="s">
        <v>121</v>
      </c>
      <c r="R4" s="30" t="s">
        <v>122</v>
      </c>
      <c r="S4" s="30" t="s">
        <v>123</v>
      </c>
      <c r="T4" s="39" t="s">
        <v>124</v>
      </c>
    </row>
    <row r="5" spans="1:20" ht="25.5" customHeight="1" x14ac:dyDescent="0.25">
      <c r="A5" s="35">
        <v>3</v>
      </c>
      <c r="B5" s="27" t="s">
        <v>125</v>
      </c>
      <c r="C5" s="28" t="s">
        <v>126</v>
      </c>
      <c r="D5" s="28" t="s">
        <v>127</v>
      </c>
      <c r="E5" s="28" t="s">
        <v>128</v>
      </c>
      <c r="F5" s="28" t="s">
        <v>129</v>
      </c>
      <c r="G5" s="27" t="s">
        <v>130</v>
      </c>
      <c r="H5" s="27">
        <v>9</v>
      </c>
      <c r="I5" s="28" t="s">
        <v>131</v>
      </c>
      <c r="J5" s="27">
        <f>4*3</f>
        <v>12</v>
      </c>
      <c r="K5" s="28" t="s">
        <v>132</v>
      </c>
      <c r="L5" s="27" t="s">
        <v>133</v>
      </c>
      <c r="M5" s="27" t="s">
        <v>134</v>
      </c>
      <c r="N5" s="27" t="s">
        <v>135</v>
      </c>
      <c r="O5" s="28" t="s">
        <v>136</v>
      </c>
      <c r="P5" s="27" t="s">
        <v>137</v>
      </c>
      <c r="Q5" s="28" t="s">
        <v>138</v>
      </c>
      <c r="R5" s="27" t="s">
        <v>139</v>
      </c>
      <c r="S5" s="27" t="s">
        <v>108</v>
      </c>
      <c r="T5" s="38" t="s">
        <v>140</v>
      </c>
    </row>
    <row r="6" spans="1:20" ht="30" customHeight="1" x14ac:dyDescent="0.25">
      <c r="A6" s="36"/>
      <c r="B6" s="30"/>
      <c r="C6" s="31"/>
      <c r="D6" s="31"/>
      <c r="E6" s="31"/>
      <c r="F6" s="31"/>
      <c r="G6" s="30"/>
      <c r="H6" s="30"/>
      <c r="I6" s="31"/>
      <c r="J6" s="30"/>
      <c r="K6" s="31"/>
      <c r="L6" s="30"/>
      <c r="M6" s="30"/>
      <c r="N6" s="30"/>
      <c r="O6" s="31"/>
      <c r="P6" s="30"/>
      <c r="Q6" s="31"/>
      <c r="R6" s="30"/>
      <c r="S6" s="30"/>
      <c r="T6" s="39"/>
    </row>
    <row r="7" spans="1:20" ht="30" customHeight="1" x14ac:dyDescent="0.25">
      <c r="A7" s="35"/>
      <c r="B7" s="27"/>
      <c r="C7" s="28"/>
      <c r="D7" s="28"/>
      <c r="E7" s="28"/>
      <c r="F7" s="28"/>
      <c r="G7" s="27"/>
      <c r="H7" s="27"/>
      <c r="I7" s="28"/>
      <c r="J7" s="27"/>
      <c r="K7" s="28"/>
      <c r="L7" s="27"/>
      <c r="M7" s="27"/>
      <c r="N7" s="27"/>
      <c r="O7" s="28"/>
      <c r="P7" s="27"/>
      <c r="Q7" s="28"/>
      <c r="R7" s="27"/>
      <c r="S7" s="27"/>
      <c r="T7" s="38"/>
    </row>
    <row r="8" spans="1:20" ht="30" customHeight="1" x14ac:dyDescent="0.25">
      <c r="A8" s="36"/>
      <c r="B8" s="30"/>
      <c r="C8" s="31"/>
      <c r="D8" s="31"/>
      <c r="E8" s="31"/>
      <c r="F8" s="31"/>
      <c r="G8" s="30"/>
      <c r="H8" s="30"/>
      <c r="I8" s="31"/>
      <c r="J8" s="30"/>
      <c r="K8" s="31"/>
      <c r="L8" s="30"/>
      <c r="M8" s="30"/>
      <c r="N8" s="30"/>
      <c r="O8" s="31"/>
      <c r="P8" s="30"/>
      <c r="Q8" s="31"/>
      <c r="R8" s="30"/>
      <c r="S8" s="30"/>
      <c r="T8" s="39"/>
    </row>
    <row r="9" spans="1:20" ht="30" customHeight="1" x14ac:dyDescent="0.25">
      <c r="A9" s="35"/>
      <c r="B9" s="27"/>
      <c r="C9" s="28"/>
      <c r="D9" s="28"/>
      <c r="E9" s="28"/>
      <c r="F9" s="28"/>
      <c r="G9" s="27"/>
      <c r="H9" s="27"/>
      <c r="I9" s="28"/>
      <c r="J9" s="27"/>
      <c r="K9" s="28"/>
      <c r="L9" s="27"/>
      <c r="M9" s="27"/>
      <c r="N9" s="27"/>
      <c r="O9" s="28"/>
      <c r="P9" s="27"/>
      <c r="Q9" s="28"/>
      <c r="R9" s="27"/>
      <c r="S9" s="27"/>
      <c r="T9" s="38"/>
    </row>
    <row r="10" spans="1:20" ht="30" customHeight="1" x14ac:dyDescent="0.25">
      <c r="A10" s="36"/>
      <c r="B10" s="30"/>
      <c r="C10" s="31"/>
      <c r="D10" s="31"/>
      <c r="E10" s="31"/>
      <c r="F10" s="31"/>
      <c r="G10" s="30"/>
      <c r="H10" s="30"/>
      <c r="I10" s="31"/>
      <c r="J10" s="30"/>
      <c r="K10" s="31"/>
      <c r="L10" s="30"/>
      <c r="M10" s="30"/>
      <c r="N10" s="30"/>
      <c r="O10" s="31"/>
      <c r="P10" s="30"/>
      <c r="Q10" s="31"/>
      <c r="R10" s="30"/>
      <c r="S10" s="30"/>
      <c r="T10" s="39"/>
    </row>
    <row r="11" spans="1:20" ht="30" customHeight="1" x14ac:dyDescent="0.25">
      <c r="A11" s="35"/>
      <c r="B11" s="27"/>
      <c r="C11" s="28"/>
      <c r="D11" s="28"/>
      <c r="E11" s="28"/>
      <c r="F11" s="28"/>
      <c r="G11" s="27"/>
      <c r="H11" s="27"/>
      <c r="I11" s="28"/>
      <c r="J11" s="27"/>
      <c r="K11" s="28"/>
      <c r="L11" s="27"/>
      <c r="M11" s="27"/>
      <c r="N11" s="27"/>
      <c r="O11" s="28"/>
      <c r="P11" s="27"/>
      <c r="Q11" s="28"/>
      <c r="R11" s="27"/>
      <c r="S11" s="27"/>
      <c r="T11" s="38"/>
    </row>
    <row r="12" spans="1:20" ht="30" customHeight="1" x14ac:dyDescent="0.25">
      <c r="A12" s="36"/>
      <c r="B12" s="30"/>
      <c r="C12" s="31"/>
      <c r="D12" s="31"/>
      <c r="E12" s="31"/>
      <c r="F12" s="31"/>
      <c r="G12" s="30"/>
      <c r="H12" s="30"/>
      <c r="I12" s="31"/>
      <c r="J12" s="30"/>
      <c r="K12" s="31"/>
      <c r="L12" s="30"/>
      <c r="M12" s="30"/>
      <c r="N12" s="30"/>
      <c r="O12" s="31"/>
      <c r="P12" s="30"/>
      <c r="Q12" s="31"/>
      <c r="R12" s="30"/>
      <c r="S12" s="30"/>
      <c r="T12" s="39"/>
    </row>
    <row r="13" spans="1:20" ht="30" customHeight="1" x14ac:dyDescent="0.25">
      <c r="A13" s="35"/>
      <c r="B13" s="27"/>
      <c r="C13" s="28"/>
      <c r="D13" s="28"/>
      <c r="E13" s="28"/>
      <c r="F13" s="28"/>
      <c r="G13" s="27"/>
      <c r="H13" s="27"/>
      <c r="I13" s="28"/>
      <c r="J13" s="27"/>
      <c r="K13" s="28"/>
      <c r="L13" s="27"/>
      <c r="M13" s="27"/>
      <c r="N13" s="27"/>
      <c r="O13" s="28"/>
      <c r="P13" s="27"/>
      <c r="Q13" s="28"/>
      <c r="R13" s="27"/>
      <c r="S13" s="27"/>
      <c r="T13" s="38"/>
    </row>
    <row r="14" spans="1:20" ht="30" customHeight="1" x14ac:dyDescent="0.25">
      <c r="A14" s="36"/>
      <c r="B14" s="30"/>
      <c r="C14" s="31"/>
      <c r="D14" s="31"/>
      <c r="E14" s="31"/>
      <c r="F14" s="31"/>
      <c r="G14" s="30"/>
      <c r="H14" s="30"/>
      <c r="I14" s="31"/>
      <c r="J14" s="30"/>
      <c r="K14" s="31"/>
      <c r="L14" s="30"/>
      <c r="M14" s="30"/>
      <c r="N14" s="30"/>
      <c r="O14" s="31"/>
      <c r="P14" s="30"/>
      <c r="Q14" s="31"/>
      <c r="R14" s="30"/>
      <c r="S14" s="30"/>
      <c r="T14" s="39"/>
    </row>
    <row r="15" spans="1:20" ht="30" customHeight="1" x14ac:dyDescent="0.25">
      <c r="A15" s="35"/>
      <c r="B15" s="27"/>
      <c r="C15" s="28"/>
      <c r="D15" s="28"/>
      <c r="E15" s="28"/>
      <c r="F15" s="28"/>
      <c r="G15" s="27"/>
      <c r="H15" s="27"/>
      <c r="I15" s="28"/>
      <c r="J15" s="27"/>
      <c r="K15" s="28"/>
      <c r="L15" s="27"/>
      <c r="M15" s="27"/>
      <c r="N15" s="27"/>
      <c r="O15" s="28"/>
      <c r="P15" s="27"/>
      <c r="Q15" s="28"/>
      <c r="R15" s="27"/>
      <c r="S15" s="27"/>
      <c r="T15" s="38"/>
    </row>
    <row r="16" spans="1:20" ht="30" customHeight="1" x14ac:dyDescent="0.25">
      <c r="A16" s="36"/>
      <c r="B16" s="30"/>
      <c r="C16" s="31"/>
      <c r="D16" s="31"/>
      <c r="E16" s="31"/>
      <c r="F16" s="31"/>
      <c r="G16" s="30"/>
      <c r="H16" s="30"/>
      <c r="I16" s="31"/>
      <c r="J16" s="30"/>
      <c r="K16" s="31"/>
      <c r="L16" s="30"/>
      <c r="M16" s="30"/>
      <c r="N16" s="30"/>
      <c r="O16" s="31"/>
      <c r="P16" s="30"/>
      <c r="Q16" s="31"/>
      <c r="R16" s="30"/>
      <c r="S16" s="30"/>
      <c r="T16" s="39"/>
    </row>
    <row r="17" spans="1:20" ht="30" customHeight="1" x14ac:dyDescent="0.25">
      <c r="A17" s="35"/>
      <c r="B17" s="27"/>
      <c r="C17" s="28"/>
      <c r="D17" s="28"/>
      <c r="E17" s="28"/>
      <c r="F17" s="28"/>
      <c r="G17" s="27"/>
      <c r="H17" s="27"/>
      <c r="I17" s="28"/>
      <c r="J17" s="27"/>
      <c r="K17" s="28"/>
      <c r="L17" s="27"/>
      <c r="M17" s="27"/>
      <c r="N17" s="27"/>
      <c r="O17" s="28"/>
      <c r="P17" s="27"/>
      <c r="Q17" s="28"/>
      <c r="R17" s="27"/>
      <c r="S17" s="27"/>
      <c r="T17" s="38"/>
    </row>
    <row r="18" spans="1:20" ht="30" customHeight="1" thickBot="1" x14ac:dyDescent="0.3">
      <c r="A18" s="62"/>
      <c r="B18" s="63"/>
      <c r="C18" s="64"/>
      <c r="D18" s="64"/>
      <c r="E18" s="64"/>
      <c r="F18" s="64"/>
      <c r="G18" s="63"/>
      <c r="H18" s="63"/>
      <c r="I18" s="64"/>
      <c r="J18" s="63"/>
      <c r="K18" s="64"/>
      <c r="L18" s="63"/>
      <c r="M18" s="63"/>
      <c r="N18" s="63"/>
      <c r="O18" s="64"/>
      <c r="P18" s="63"/>
      <c r="Q18" s="64"/>
      <c r="R18" s="63"/>
      <c r="S18" s="63"/>
      <c r="T18" s="65"/>
    </row>
    <row r="19" spans="1:20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spans="1:20" ht="21.95" customHeight="1" thickBot="1" x14ac:dyDescent="0.3">
      <c r="A20" s="44" t="s">
        <v>141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</row>
    <row r="21" spans="1:20" ht="18" customHeight="1" x14ac:dyDescent="0.25">
      <c r="A21" s="48" t="s">
        <v>142</v>
      </c>
      <c r="B21" s="46"/>
      <c r="C21" s="46"/>
      <c r="D21" s="46"/>
      <c r="E21" s="46"/>
      <c r="F21" s="48" t="s">
        <v>143</v>
      </c>
      <c r="G21" s="46"/>
      <c r="H21" s="46"/>
      <c r="I21" s="46"/>
      <c r="J21" s="46"/>
      <c r="K21" s="48" t="s">
        <v>144</v>
      </c>
      <c r="L21" s="46"/>
      <c r="M21" s="46"/>
      <c r="N21" s="46"/>
      <c r="O21" s="46"/>
      <c r="P21" s="48" t="s">
        <v>145</v>
      </c>
      <c r="Q21" s="54"/>
      <c r="R21" s="54"/>
      <c r="S21" s="54"/>
      <c r="T21" s="55"/>
    </row>
    <row r="22" spans="1:20" ht="24" customHeight="1" x14ac:dyDescent="0.25">
      <c r="A22" s="49" t="s">
        <v>146</v>
      </c>
      <c r="B22" s="45"/>
      <c r="C22" s="45"/>
      <c r="D22" s="45"/>
      <c r="E22" s="45"/>
      <c r="F22" s="49" t="s">
        <v>147</v>
      </c>
      <c r="G22" s="45"/>
      <c r="H22" s="45"/>
      <c r="I22" s="45"/>
      <c r="J22" s="45"/>
      <c r="K22" s="49" t="s">
        <v>148</v>
      </c>
      <c r="L22" s="45"/>
      <c r="M22" s="45"/>
      <c r="N22" s="45"/>
      <c r="O22" s="45"/>
      <c r="P22" s="49" t="s">
        <v>149</v>
      </c>
      <c r="Q22" s="43"/>
      <c r="R22" s="43"/>
      <c r="S22" s="43"/>
      <c r="T22" s="52"/>
    </row>
    <row r="23" spans="1:20" ht="24" customHeight="1" x14ac:dyDescent="0.25">
      <c r="A23" s="50" t="s">
        <v>150</v>
      </c>
      <c r="B23" s="45"/>
      <c r="C23" s="45"/>
      <c r="D23" s="45"/>
      <c r="E23" s="45"/>
      <c r="F23" s="50" t="s">
        <v>151</v>
      </c>
      <c r="G23" s="45"/>
      <c r="H23" s="45"/>
      <c r="I23" s="45"/>
      <c r="J23" s="45"/>
      <c r="K23" s="50" t="s">
        <v>152</v>
      </c>
      <c r="L23" s="45"/>
      <c r="M23" s="45"/>
      <c r="N23" s="45"/>
      <c r="O23" s="45"/>
      <c r="P23" s="50" t="s">
        <v>153</v>
      </c>
      <c r="Q23" s="43"/>
      <c r="R23" s="43"/>
      <c r="S23" s="43"/>
      <c r="T23" s="52"/>
    </row>
    <row r="24" spans="1:20" ht="24" customHeight="1" x14ac:dyDescent="0.25">
      <c r="A24" s="49" t="s">
        <v>154</v>
      </c>
      <c r="B24" s="43"/>
      <c r="C24" s="43"/>
      <c r="D24" s="43"/>
      <c r="E24" s="43"/>
      <c r="F24" s="49" t="s">
        <v>155</v>
      </c>
      <c r="G24" s="43"/>
      <c r="H24" s="43"/>
      <c r="I24" s="43"/>
      <c r="J24" s="43"/>
      <c r="K24" s="49" t="s">
        <v>156</v>
      </c>
      <c r="L24" s="43"/>
      <c r="M24" s="43"/>
      <c r="N24" s="43"/>
      <c r="O24" s="43"/>
      <c r="P24" s="49" t="s">
        <v>157</v>
      </c>
      <c r="Q24" s="43"/>
      <c r="R24" s="43"/>
      <c r="S24" s="43"/>
      <c r="T24" s="52"/>
    </row>
    <row r="25" spans="1:20" ht="24" customHeight="1" x14ac:dyDescent="0.25">
      <c r="A25" s="50" t="s">
        <v>158</v>
      </c>
      <c r="B25" s="43"/>
      <c r="C25" s="43"/>
      <c r="D25" s="43"/>
      <c r="E25" s="43"/>
      <c r="F25" s="50" t="s">
        <v>159</v>
      </c>
      <c r="G25" s="43"/>
      <c r="H25" s="43"/>
      <c r="I25" s="43"/>
      <c r="J25" s="43"/>
      <c r="K25" s="50" t="s">
        <v>160</v>
      </c>
      <c r="L25" s="43"/>
      <c r="M25" s="43"/>
      <c r="N25" s="43"/>
      <c r="O25" s="43"/>
      <c r="P25" s="50" t="s">
        <v>161</v>
      </c>
      <c r="Q25" s="43"/>
      <c r="R25" s="43"/>
      <c r="S25" s="43"/>
      <c r="T25" s="52"/>
    </row>
    <row r="26" spans="1:20" ht="24" customHeight="1" x14ac:dyDescent="0.25">
      <c r="A26" s="49" t="s">
        <v>162</v>
      </c>
      <c r="B26" s="43"/>
      <c r="C26" s="43"/>
      <c r="D26" s="43"/>
      <c r="E26" s="43"/>
      <c r="F26" s="49" t="s">
        <v>163</v>
      </c>
      <c r="G26" s="43"/>
      <c r="H26" s="43"/>
      <c r="I26" s="43"/>
      <c r="J26" s="43"/>
      <c r="K26" s="49" t="s">
        <v>164</v>
      </c>
      <c r="L26" s="43"/>
      <c r="M26" s="43"/>
      <c r="N26" s="43"/>
      <c r="O26" s="43"/>
      <c r="P26" s="49" t="s">
        <v>165</v>
      </c>
      <c r="Q26" s="43"/>
      <c r="R26" s="43"/>
      <c r="S26" s="43"/>
      <c r="T26" s="52"/>
    </row>
    <row r="27" spans="1:20" ht="24" customHeight="1" thickBot="1" x14ac:dyDescent="0.3">
      <c r="A27" s="51" t="s">
        <v>166</v>
      </c>
      <c r="B27" s="47"/>
      <c r="C27" s="47"/>
      <c r="D27" s="47"/>
      <c r="E27" s="47"/>
      <c r="F27" s="51" t="s">
        <v>167</v>
      </c>
      <c r="G27" s="47"/>
      <c r="H27" s="47"/>
      <c r="I27" s="47"/>
      <c r="J27" s="47"/>
      <c r="K27" s="51" t="s">
        <v>168</v>
      </c>
      <c r="L27" s="47"/>
      <c r="M27" s="47"/>
      <c r="N27" s="47"/>
      <c r="O27" s="47"/>
      <c r="P27" s="51" t="s">
        <v>169</v>
      </c>
      <c r="Q27" s="47"/>
      <c r="R27" s="47"/>
      <c r="S27" s="47"/>
      <c r="T27" s="53"/>
    </row>
    <row r="28" spans="1:20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ht="21.95" customHeight="1" x14ac:dyDescent="0.25">
      <c r="A29" s="44" t="s">
        <v>170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</row>
    <row r="30" spans="1:20" ht="26.1" customHeight="1" x14ac:dyDescent="0.25">
      <c r="A30" s="56" t="s">
        <v>171</v>
      </c>
      <c r="B30" s="57"/>
      <c r="C30" s="57"/>
      <c r="D30" s="57"/>
      <c r="E30" s="56" t="s">
        <v>172</v>
      </c>
      <c r="F30" s="57"/>
      <c r="G30" s="57"/>
      <c r="H30" s="56" t="s">
        <v>173</v>
      </c>
      <c r="I30" s="57"/>
      <c r="J30" s="57"/>
      <c r="K30" s="56" t="s">
        <v>174</v>
      </c>
      <c r="L30" s="57"/>
      <c r="M30" s="57"/>
      <c r="N30" s="56" t="s">
        <v>175</v>
      </c>
      <c r="O30" s="58"/>
      <c r="P30" s="58"/>
      <c r="Q30" s="56" t="s">
        <v>176</v>
      </c>
      <c r="R30" s="57"/>
      <c r="S30" s="57"/>
      <c r="T30" s="57"/>
    </row>
    <row r="31" spans="1:20" ht="33.950000000000003" customHeight="1" x14ac:dyDescent="0.25">
      <c r="A31" s="59">
        <f>COUNTA(D3:D18)</f>
        <v>3</v>
      </c>
      <c r="B31" s="57"/>
      <c r="C31" s="57"/>
      <c r="D31" s="57"/>
      <c r="E31" s="59">
        <f>COUNTIF(J3:J18,"&gt;=15")</f>
        <v>2</v>
      </c>
      <c r="F31" s="57"/>
      <c r="G31" s="57"/>
      <c r="H31" s="59">
        <f>COUNTIFS(J3:J18,"&gt;=8",J3:J18,"&lt;15")</f>
        <v>1</v>
      </c>
      <c r="I31" s="57"/>
      <c r="J31" s="57"/>
      <c r="K31" s="59">
        <f>COUNTIF(S3:S18,"En proceso")</f>
        <v>2</v>
      </c>
      <c r="L31" s="57"/>
      <c r="M31" s="57"/>
      <c r="N31" s="59">
        <f>COUNTIF(S3:S18,"Pendiente")</f>
        <v>1</v>
      </c>
      <c r="O31" s="57"/>
      <c r="P31" s="57"/>
      <c r="Q31" s="59">
        <f>COUNTIF(S3:S18,"Cerrado")</f>
        <v>0</v>
      </c>
      <c r="R31" s="57"/>
      <c r="S31" s="57"/>
      <c r="T31" s="57"/>
    </row>
    <row r="32" spans="1:20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ht="21.95" customHeight="1" x14ac:dyDescent="0.25">
      <c r="A33" s="44" t="s">
        <v>177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</row>
    <row r="34" spans="1:20" ht="21.95" customHeight="1" x14ac:dyDescent="0.25">
      <c r="A34" s="60" t="s">
        <v>178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</row>
    <row r="35" spans="1:20" ht="21.95" customHeight="1" x14ac:dyDescent="0.25">
      <c r="A35" s="61" t="s">
        <v>179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</row>
    <row r="36" spans="1:20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</sheetData>
  <mergeCells count="46">
    <mergeCell ref="A33:T33"/>
    <mergeCell ref="A34:T34"/>
    <mergeCell ref="A35:T35"/>
    <mergeCell ref="A29:T29"/>
    <mergeCell ref="A30:D30"/>
    <mergeCell ref="A31:D31"/>
    <mergeCell ref="E30:G30"/>
    <mergeCell ref="E31:G31"/>
    <mergeCell ref="H30:J30"/>
    <mergeCell ref="H31:J31"/>
    <mergeCell ref="K30:M30"/>
    <mergeCell ref="K31:M31"/>
    <mergeCell ref="N30:P30"/>
    <mergeCell ref="N31:P31"/>
    <mergeCell ref="Q30:T30"/>
    <mergeCell ref="Q31:T31"/>
    <mergeCell ref="A26:E26"/>
    <mergeCell ref="F26:J26"/>
    <mergeCell ref="K26:O26"/>
    <mergeCell ref="P26:T26"/>
    <mergeCell ref="A27:E27"/>
    <mergeCell ref="F27:J27"/>
    <mergeCell ref="K27:O27"/>
    <mergeCell ref="P27:T27"/>
    <mergeCell ref="A24:E24"/>
    <mergeCell ref="F24:J24"/>
    <mergeCell ref="K24:O24"/>
    <mergeCell ref="P24:T24"/>
    <mergeCell ref="A25:E25"/>
    <mergeCell ref="F25:J25"/>
    <mergeCell ref="K25:O25"/>
    <mergeCell ref="P25:T25"/>
    <mergeCell ref="A22:E22"/>
    <mergeCell ref="F22:J22"/>
    <mergeCell ref="K22:O22"/>
    <mergeCell ref="P22:T22"/>
    <mergeCell ref="A23:E23"/>
    <mergeCell ref="F23:J23"/>
    <mergeCell ref="K23:O23"/>
    <mergeCell ref="P23:T23"/>
    <mergeCell ref="A1:T1"/>
    <mergeCell ref="A20:T20"/>
    <mergeCell ref="A21:E21"/>
    <mergeCell ref="F21:J21"/>
    <mergeCell ref="K21:O21"/>
    <mergeCell ref="P21:T21"/>
  </mergeCells>
  <conditionalFormatting sqref="J3:J18">
    <cfRule type="cellIs" dxfId="10" priority="1" operator="greaterThanOrEqual">
      <formula>15</formula>
    </cfRule>
  </conditionalFormatting>
  <conditionalFormatting sqref="J3:J18">
    <cfRule type="cellIs" dxfId="9" priority="2" operator="greaterThanOrEqual">
      <formula>8</formula>
    </cfRule>
  </conditionalFormatting>
  <conditionalFormatting sqref="J3:J18">
    <cfRule type="cellIs" dxfId="8" priority="3" operator="greaterThan">
      <formula>0</formula>
    </cfRule>
  </conditionalFormatting>
  <conditionalFormatting sqref="S3:S18">
    <cfRule type="containsText" dxfId="7" priority="4" operator="containsText" text="Cerrado">
      <formula>NOT(ISERROR(SEARCH("Cerrado",S3)))</formula>
    </cfRule>
  </conditionalFormatting>
  <conditionalFormatting sqref="S3:S18">
    <cfRule type="containsText" dxfId="6" priority="5" operator="containsText" text="En proceso">
      <formula>NOT(ISERROR(SEARCH("En proceso",S3)))</formula>
    </cfRule>
  </conditionalFormatting>
  <conditionalFormatting sqref="S3:S18">
    <cfRule type="containsText" dxfId="5" priority="6" operator="containsText" text="Pendiente">
      <formula>NOT(ISERROR(SEARCH("Pendiente",S3)))</formula>
    </cfRule>
  </conditionalFormatting>
  <conditionalFormatting sqref="S3:S18">
    <cfRule type="containsText" dxfId="4" priority="7" operator="containsText" text="Vencido">
      <formula>NOT(ISERROR(SEARCH("Vencido",S3)))</formula>
    </cfRule>
  </conditionalFormatting>
  <conditionalFormatting sqref="N3:N18">
    <cfRule type="containsText" dxfId="3" priority="8" operator="containsText" text="Planear">
      <formula>NOT(ISERROR(SEARCH("Planear",N3)))</formula>
    </cfRule>
  </conditionalFormatting>
  <conditionalFormatting sqref="N3:N18">
    <cfRule type="containsText" dxfId="2" priority="9" operator="containsText" text="Hacer">
      <formula>NOT(ISERROR(SEARCH("Hacer",N3)))</formula>
    </cfRule>
  </conditionalFormatting>
  <conditionalFormatting sqref="N3:N18">
    <cfRule type="containsText" dxfId="1" priority="10" operator="containsText" text="Verificar">
      <formula>NOT(ISERROR(SEARCH("Verificar",N3)))</formula>
    </cfRule>
  </conditionalFormatting>
  <conditionalFormatting sqref="N3:N18">
    <cfRule type="containsText" dxfId="0" priority="11" operator="containsText" text="Actuar">
      <formula>NOT(ISERROR(SEARCH("Actuar",N3)))</formula>
    </cfRule>
  </conditionalFormatting>
  <dataValidations count="3">
    <dataValidation type="list" allowBlank="1" showInputMessage="1" showErrorMessage="1" sqref="N3:N18" xr:uid="{9B4A4D3C-9C80-4E80-A15F-E370BCC527D2}">
      <formula1>"Planear,Hacer,Verificar,Actuar"</formula1>
    </dataValidation>
    <dataValidation type="list" allowBlank="1" showInputMessage="1" showErrorMessage="1" sqref="S3:S18" xr:uid="{6D3C3FA2-C984-4C80-B80C-51815E29A911}">
      <formula1>"Pendiente,En proceso,Cerrado,Vencido"</formula1>
    </dataValidation>
    <dataValidation type="list" allowBlank="1" showInputMessage="1" showErrorMessage="1" sqref="G3:G18" xr:uid="{67BC36EB-DFF0-4EF5-90F5-03332468F5A8}">
      <formula1>"Proceso / Procedimiento,Tiempo / Demora,Defecto / Calidad,Documentación,Recurso / Capacidad,Comunicación,Tecnología / Sistema"</formula1>
    </dataValidation>
  </dataValidations>
  <printOptions horizontalCentered="1"/>
  <pageMargins left="0.19444444444444445" right="0.19444444444444445" top="0.25" bottom="0.25" header="0.1111111111111111" footer="0.1111111111111111"/>
  <pageSetup paperSize="9" scale="53" fitToHeight="0" orientation="landscape" horizontalDpi="300" verticalDpi="300" r:id="rId1"/>
  <headerFooter>
    <oddHeader>&amp;C&amp;"Arial,Bold"&amp;8 MH-SGC-001 — Matriz de Hallazgos · Versión 01&amp;R&amp;"Arial,Bold"&amp;8 © Pierre R.</oddHeader>
    <oddFooter>&amp;L&amp;8 Plantilla referencial SGC — Elaborado por Pierre R.&amp;R&amp;8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showGridLines="0" zoomScaleNormal="100" workbookViewId="0">
      <selection sqref="A1:E1"/>
    </sheetView>
  </sheetViews>
  <sheetFormatPr baseColWidth="10" defaultColWidth="8.7109375" defaultRowHeight="15" x14ac:dyDescent="0.25"/>
  <cols>
    <col min="1" max="1" width="38" customWidth="1"/>
    <col min="2" max="5" width="16" customWidth="1"/>
  </cols>
  <sheetData>
    <row r="1" spans="1:5" ht="24" customHeight="1" x14ac:dyDescent="0.25">
      <c r="A1" s="1" t="s">
        <v>84</v>
      </c>
      <c r="B1" s="1"/>
      <c r="C1" s="1"/>
      <c r="D1" s="1"/>
      <c r="E1" s="1"/>
    </row>
    <row r="3" spans="1:5" x14ac:dyDescent="0.25">
      <c r="A3" s="23" t="s">
        <v>85</v>
      </c>
      <c r="B3" s="24">
        <f>COUNTA('1. Básico'!F3:F17)</f>
        <v>0</v>
      </c>
    </row>
    <row r="4" spans="1:5" x14ac:dyDescent="0.25">
      <c r="A4" s="23" t="s">
        <v>86</v>
      </c>
      <c r="B4" s="24">
        <f>COUNTA('2. Intermedio'!D3:D17)</f>
        <v>0</v>
      </c>
    </row>
    <row r="5" spans="1:5" x14ac:dyDescent="0.25">
      <c r="A5" s="23" t="s">
        <v>87</v>
      </c>
      <c r="B5" s="24">
        <f>COUNTA('3. Avanzado'!D3:D17)</f>
        <v>3</v>
      </c>
    </row>
    <row r="6" spans="1:5" x14ac:dyDescent="0.25">
      <c r="A6" s="23" t="s">
        <v>88</v>
      </c>
      <c r="B6" s="24">
        <f>COUNTIF('2. Intermedio'!K3:K17,"ALTO")</f>
        <v>0</v>
      </c>
    </row>
    <row r="7" spans="1:5" x14ac:dyDescent="0.25">
      <c r="A7" s="23" t="s">
        <v>89</v>
      </c>
      <c r="B7" s="24">
        <f>COUNTIF('2. Intermedio'!K3:K17,"MEDIO")</f>
        <v>0</v>
      </c>
    </row>
    <row r="8" spans="1:5" x14ac:dyDescent="0.25">
      <c r="A8" s="23" t="s">
        <v>90</v>
      </c>
      <c r="B8" s="24">
        <f>COUNTIF('2. Intermedio'!K3:K17,"BAJO")</f>
        <v>0</v>
      </c>
    </row>
    <row r="9" spans="1:5" x14ac:dyDescent="0.25">
      <c r="A9" s="23" t="s">
        <v>91</v>
      </c>
      <c r="B9" s="24">
        <f>COUNTIF('2. Intermedio'!O3:O17,"Pendiente")</f>
        <v>0</v>
      </c>
    </row>
    <row r="10" spans="1:5" x14ac:dyDescent="0.25">
      <c r="A10" s="23" t="s">
        <v>92</v>
      </c>
      <c r="B10" s="24">
        <f>COUNTIF('3. Avanzado'!S3:S17,"Verificado eficaz")</f>
        <v>0</v>
      </c>
    </row>
    <row r="12" spans="1:5" x14ac:dyDescent="0.25">
      <c r="A12" s="22" t="s">
        <v>93</v>
      </c>
    </row>
  </sheetData>
  <mergeCells count="1">
    <mergeCell ref="A1:E1"/>
  </mergeCells>
  <pageMargins left="0.75" right="0.75" top="1" bottom="1" header="0.5" footer="0.5"/>
  <pageSetup paperSize="9" orientation="portrait" horizontalDpi="300" verticalDpi="300"/>
  <headerFooter>
    <oddHeader>&amp;C&amp;"Arial,Bold"&amp;8 MH-SGC-001 — Matriz de Hallazgos · Versión 01&amp;R&amp;"Arial,Bold"&amp;8 © Pierre R.</oddHeader>
    <oddFooter>&amp;L&amp;8 Plantilla referencial SGC — Elaborado por Pierre R.&amp;R&amp;8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0. Portada</vt:lpstr>
      <vt:lpstr>M. Normativo</vt:lpstr>
      <vt:lpstr>1. Básico</vt:lpstr>
      <vt:lpstr>2. Intermedio</vt:lpstr>
      <vt:lpstr>3. Avanzado</vt:lpstr>
      <vt:lpstr>4. Resumen</vt:lpstr>
      <vt:lpstr>'3. Avanzado'!Área_de_impresión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pierre R</cp:lastModifiedBy>
  <cp:revision>0</cp:revision>
  <dcterms:created xsi:type="dcterms:W3CDTF">2026-06-10T00:22:59Z</dcterms:created>
  <dcterms:modified xsi:type="dcterms:W3CDTF">2026-06-10T02:38:16Z</dcterms:modified>
  <dc:language>en-US</dc:language>
</cp:coreProperties>
</file>