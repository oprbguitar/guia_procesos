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prbg\Desktop\pasos a seguir\"/>
    </mc:Choice>
  </mc:AlternateContent>
  <xr:revisionPtr revIDLastSave="0" documentId="13_ncr:1_{7EBBF87C-D63C-4EE6-89AE-3927D7BA6602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Portada e Instrucciones" sheetId="1" r:id="rId1"/>
    <sheet name="Nivel Básico" sheetId="2" r:id="rId2"/>
    <sheet name="Nivel Intermedio" sheetId="3" r:id="rId3"/>
    <sheet name="Nivel Avanzado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3" i="4" l="1"/>
  <c r="J12" i="4"/>
  <c r="J11" i="4"/>
  <c r="J10" i="4"/>
  <c r="J9" i="4"/>
  <c r="J8" i="4"/>
  <c r="J7" i="4"/>
  <c r="J6" i="4"/>
  <c r="F16" i="4" a="1"/>
  <c r="F16" i="4" s="1"/>
  <c r="D24" i="4"/>
  <c r="D23" i="4"/>
  <c r="D22" i="4"/>
  <c r="D21" i="4"/>
  <c r="D20" i="4"/>
  <c r="D19" i="4"/>
  <c r="D18" i="4"/>
  <c r="D17" i="4"/>
  <c r="D16" i="4"/>
  <c r="I7" i="3"/>
  <c r="J7" i="3" s="1"/>
  <c r="I6" i="3"/>
  <c r="J6" i="3" s="1"/>
  <c r="I5" i="3"/>
  <c r="J5" i="3" s="1"/>
  <c r="G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<sst xmlns="http://schemas.openxmlformats.org/spreadsheetml/2006/main" count="142" uniqueCount="125">
  <si>
    <t>SISTEMA DE GESTIÓN DE LA CALIDAD — SGC</t>
  </si>
  <si>
    <t>MATRIZ DE SEGUIMIENTO DE ACCIONES DE MEJORA</t>
  </si>
  <si>
    <t>Plantilla genérica y referencial — Tres niveles internos: Básico · Intermedio · Avanzado (use solo el que corresponda a la madurez de su SGC)</t>
  </si>
  <si>
    <t>Código del documento</t>
  </si>
  <si>
    <t>MS-SGC-003</t>
  </si>
  <si>
    <t>Versión</t>
  </si>
  <si>
    <t>01</t>
  </si>
  <si>
    <t>Fecha de emisión</t>
  </si>
  <si>
    <t>[DD/MM/AAAA]</t>
  </si>
  <si>
    <t>Proceso / Área</t>
  </si>
  <si>
    <t>[NOMBRE DEL PROCESO]</t>
  </si>
  <si>
    <t>Elaborado por</t>
  </si>
  <si>
    <t>[NOMBRE Y CARGO] — Plantilla base: Pierre R.</t>
  </si>
  <si>
    <t>Revisado por</t>
  </si>
  <si>
    <t>[NOMBRE Y CARGO]</t>
  </si>
  <si>
    <t>Aprobado por</t>
  </si>
  <si>
    <t>[NOMBRE Y CARGO — Alta Dirección, cláusula 5.1 NTP-ISO 9001:2015]</t>
  </si>
  <si>
    <t>MARCO NORMATIVO Y BUENAS PRÁCTICAS DE REFERENCIA</t>
  </si>
  <si>
    <t>Norma / Marco</t>
  </si>
  <si>
    <t>Aplicación en este documento</t>
  </si>
  <si>
    <t>NTP-ISO 9001:2015 — cláusula 9.1.1</t>
  </si>
  <si>
    <t>La organización debe determinar qué seguir y medir, los métodos, cuándo medir y cuándo analizar; esta matriz operativiza ese requisito para las acciones de mejora.</t>
  </si>
  <si>
    <t>NTP-ISO 9001:2015 — cláusula 9.1.3</t>
  </si>
  <si>
    <t>Análisis y evaluación: el semáforo y el % de cumplimiento permiten evaluar desempeño y eficacia de lo planificado.</t>
  </si>
  <si>
    <t>NTP-ISO 9001:2015 — cláusula 10.2.2</t>
  </si>
  <si>
    <t>Conservar información documentada de la naturaleza de las no conformidades, acciones tomadas y resultados.</t>
  </si>
  <si>
    <t>NTP-ISO 9001:2015 — cláusula 9.3.2</t>
  </si>
  <si>
    <t>El estado de las acciones de revisiones previas es entrada obligatoria de la revisión por la dirección.</t>
  </si>
  <si>
    <t>Norma Técnica N° 001-2018-PCM/SGP y DS N° 123-2018-PCM (Perú)</t>
  </si>
  <si>
    <t>Seguimiento de la mejora de procesos en entidades públicas dentro del Sistema Administrativo de Modernización.</t>
  </si>
  <si>
    <t>BSC (Kaplan &amp; Norton) / KPI</t>
  </si>
  <si>
    <t>Buenas prácticas de tableros de control: metas, semáforos y responsables por indicador.</t>
  </si>
  <si>
    <t>INSTRUCCIONES DE LLENADO</t>
  </si>
  <si>
    <t>1. Los campos editables están marcados como [DATO] o contienen datos de ejemplo en cursiva: reemplácelos.</t>
  </si>
  <si>
    <t>2. Elija UNA sola hoja de nivel (Básico, Intermedio o Avanzado) y elimine las demás antes de oficializar.</t>
  </si>
  <si>
    <t>3. No borre las celdas con fórmulas (duración, % avance, semáforos): se recalculan automáticamente.</t>
  </si>
  <si>
    <t>4. Adapte las referencias normativas a la normativa interna de su organización y al marco legal sectorial.</t>
  </si>
  <si>
    <t>5. Vincule este documento con el Plan de Acción PA-SGC-001 y el Reporte de Mejora RM-SGC-004.</t>
  </si>
  <si>
    <t>Documento genérico y referencial elaborado conforme a NTP-ISO 9001:2015 (INACAL) y normativa peruana de modernización · Autoría de plantilla: Pierre R.</t>
  </si>
  <si>
    <t>NIVEL BÁSICO — Seguimiento simple: acción, responsable, fecha compromiso, estado y % de avance</t>
  </si>
  <si>
    <t>N°</t>
  </si>
  <si>
    <t>Acción de mejora (del Plan PA-SGC-001)</t>
  </si>
  <si>
    <t>Responsable</t>
  </si>
  <si>
    <t>Fecha compromiso</t>
  </si>
  <si>
    <t>Estado</t>
  </si>
  <si>
    <t>% Avance</t>
  </si>
  <si>
    <t>Observaciones / próximos pasos</t>
  </si>
  <si>
    <t>Actualizar procedimiento de atención de pedidos</t>
  </si>
  <si>
    <t>Jefe de Operaciones</t>
  </si>
  <si>
    <t>2026-07-10</t>
  </si>
  <si>
    <t>Concluida</t>
  </si>
  <si>
    <t>Procedimiento v.02 publicado</t>
  </si>
  <si>
    <t>Capacitar al personal en el nuevo procedimiento</t>
  </si>
  <si>
    <t>RR.HH. / Calidad</t>
  </si>
  <si>
    <t>2026-07-15</t>
  </si>
  <si>
    <t>En curso</t>
  </si>
  <si>
    <t>Falta turno noche</t>
  </si>
  <si>
    <t>[ACCIÓN]</t>
  </si>
  <si>
    <t>[RESPONSABLE]</t>
  </si>
  <si>
    <t>Pendiente</t>
  </si>
  <si>
    <t>[NOTA]</t>
  </si>
  <si>
    <t>AVANCE PROMEDIO</t>
  </si>
  <si>
    <t>Frecuencia sugerida de actualización: mensual. Datos de ejemplo en cursiva: reemplazar.</t>
  </si>
  <si>
    <t>NIVEL INTERMEDIO — Seguimiento con indicador, meta, % de cumplimiento automático y semáforo</t>
  </si>
  <si>
    <t>Acción de mejora</t>
  </si>
  <si>
    <t>Indicador (KPI) asociado</t>
  </si>
  <si>
    <t>Meta</t>
  </si>
  <si>
    <t>Valor actual</t>
  </si>
  <si>
    <t>% Cumplimiento</t>
  </si>
  <si>
    <t>Semáforo</t>
  </si>
  <si>
    <t>Observaciones</t>
  </si>
  <si>
    <t>Reducir tiempo de despacho de pedidos</t>
  </si>
  <si>
    <t>2026-08-31</t>
  </si>
  <si>
    <t>Tiempo promedio de despacho (horas)</t>
  </si>
  <si>
    <t>Dato de ejemplo: reemplazar</t>
  </si>
  <si>
    <t>Disminuir reprocesos en facturación</t>
  </si>
  <si>
    <t>Jefe de Administración</t>
  </si>
  <si>
    <t>2026-09-15</t>
  </si>
  <si>
    <t>% facturas con error</t>
  </si>
  <si>
    <t>[KPI + fórmula]</t>
  </si>
  <si>
    <t>Regla del semáforo: Verde ≥ 90% · Ámbar 70–89% · Rojo &lt; 70% (ajuste umbrales en su normativa interna). Para indicadores donde "menor es mejor" use meta/valor.</t>
  </si>
  <si>
    <t>Código</t>
  </si>
  <si>
    <t>AC-2026-01</t>
  </si>
  <si>
    <t>Auditoría interna (ISO 19011)</t>
  </si>
  <si>
    <t>Actualizar procedimiento de despacho</t>
  </si>
  <si>
    <t>Medición KPI 30 días post-implementación</t>
  </si>
  <si>
    <t>Eficaz</t>
  </si>
  <si>
    <t>Bajo</t>
  </si>
  <si>
    <t>Cerrada con evidencia</t>
  </si>
  <si>
    <t>AC-2026-02</t>
  </si>
  <si>
    <t>KPI fuera de meta (9.1)</t>
  </si>
  <si>
    <t>Rediseñar flujo de facturación</t>
  </si>
  <si>
    <t>Medio</t>
  </si>
  <si>
    <t>Reprogramada por carga operativa</t>
  </si>
  <si>
    <t>AC-2026-03</t>
  </si>
  <si>
    <t>Queja de cliente</t>
  </si>
  <si>
    <t>Total de acciones</t>
  </si>
  <si>
    <t>Concluidas</t>
  </si>
  <si>
    <t>Pendientes</t>
  </si>
  <si>
    <t>Reprogramadas</t>
  </si>
  <si>
    <t>% Avance global</t>
  </si>
  <si>
    <t>% Acciones eficaces (de las verificadas)</t>
  </si>
  <si>
    <t>NIVEL AVANZADO — Trazabilidad completa: origen → acción → eficacia verificada (10.2.1.d)</t>
  </si>
  <si>
    <t>Registre cada fila: las columnas en gris se calculan solas (Estado, Semáforo y bloqueo de cierre por eficacia).</t>
  </si>
  <si>
    <t>Origen
(auditoría / NC / KPI / queja)</t>
  </si>
  <si>
    <t>Fecha
compromiso</t>
  </si>
  <si>
    <t>N°
reprogr.</t>
  </si>
  <si>
    <t>Nueva
fecha</t>
  </si>
  <si>
    <t>Estado
(auto)</t>
  </si>
  <si>
    <t>Verificación de eficacia
(10.2.1.d)</t>
  </si>
  <si>
    <t>Resultado
(Eficaz / No eficaz)</t>
  </si>
  <si>
    <t>Riesgo
residual (6.1)</t>
  </si>
  <si>
    <t>Observaciones / Cierre</t>
  </si>
  <si>
    <t>TABLERO RESUMEN — se actualiza automáticamente al registrar</t>
  </si>
  <si>
    <t>Por verificar eficacia</t>
  </si>
  <si>
    <t>Acciones "No eficaces" (requieren nueva acción 10.2.1.e)</t>
  </si>
  <si>
    <t>LEYENDA — ¿qué significa cada cosa?</t>
  </si>
  <si>
    <t>Estado (gris, automatico): se calcula segun % Avance, reprogramaciones y eficacia. No se escribe a mano.</t>
  </si>
  <si>
    <t xml:space="preserve">  • Pendiente = 0% | En curso = 1–99% | Por verificar = 100% sin eficacia | Concluida = 100% + Eficaz | Reprogramada = tiene N° reprogr.</t>
  </si>
  <si>
    <t>% Avance: semaforo verde (100%) / ambar (≥50%) / naranja (&lt;50%). Elija el valor de la lista.</t>
  </si>
  <si>
    <t>Resultado eficacia (10.2.1.d): Eficaz (verde) cierra la accion; No eficaz (rojo) obliga a nueva accion y actualizar riesgos (10.2.1.e).</t>
  </si>
  <si>
    <t>Riesgo residual (6.1): Alto/Medio/Bajo con semaforo de color automatico.</t>
  </si>
  <si>
    <t>Control de cierre: bloquea el cierre de acciones al 100% sin eficacia verificada documentada (regla 10.2.1.d).</t>
  </si>
  <si>
    <t>Tablero resumen: conteos y % se recalculan solos; es entrada de la revision por la direccion (9.3.2.a).</t>
  </si>
  <si>
    <t>Regla de cierre: ninguna acción se cierra sin verificación de eficacia documentada (10.2.1.d). Si "No eficaz": nueva acción + actualización de riesgos (10.2.1.e). Este tablero es entrada de la revisión por la dirección (9.3.2.a).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</si>
</sst>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charset val="1"/>
    </font>
    <font>
      <b/>
      <sz val="11"/>
      <color rgb="FFBF9000"/>
      <name val="Arial"/>
      <charset val="1"/>
    </font>
    <font>
      <b/>
      <sz val="20"/>
      <color rgb="FF1F3864"/>
      <name val="Arial"/>
      <charset val="1"/>
    </font>
    <font>
      <i/>
      <sz val="9"/>
      <color rgb="FF595959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b/>
      <sz val="10"/>
      <color rgb="FF1F3864"/>
      <name val="Arial"/>
      <charset val="1"/>
    </font>
    <font>
      <b/>
      <sz val="8.5"/>
      <name val="Arial"/>
      <charset val="1"/>
    </font>
    <font>
      <sz val="8.5"/>
      <name val="Arial"/>
      <charset val="1"/>
    </font>
    <font>
      <i/>
      <sz val="8"/>
      <color rgb="FF7F7F7F"/>
      <name val="Arial"/>
      <charset val="1"/>
    </font>
    <font>
      <b/>
      <sz val="11"/>
      <color rgb="FFFFFFFF"/>
      <name val="Arial"/>
      <charset val="1"/>
    </font>
    <font>
      <i/>
      <sz val="9"/>
      <color rgb="FF1F4E79"/>
      <name val="Arial"/>
      <charset val="1"/>
    </font>
    <font>
      <sz val="9"/>
      <color rgb="FF262626"/>
      <name val="Arial"/>
      <charset val="1"/>
    </font>
    <font>
      <b/>
      <sz val="9"/>
      <color rgb="FF2E7D32"/>
      <name val="Arial"/>
      <charset val="1"/>
    </font>
    <font>
      <b/>
      <sz val="10"/>
      <color rgb="FF2E7D32"/>
      <name val="Arial"/>
      <charset val="1"/>
    </font>
    <font>
      <i/>
      <sz val="8.5"/>
      <color rgb="FF7F7F7F"/>
      <name val="Arial"/>
      <charset val="1"/>
    </font>
    <font>
      <b/>
      <sz val="11"/>
      <color rgb="FFFFFFFF"/>
      <name val="Calibri"/>
      <family val="2"/>
      <charset val="1"/>
    </font>
    <font>
      <b/>
      <sz val="13"/>
      <color rgb="FFFFFFFF"/>
      <name val="Calibri"/>
      <family val="2"/>
      <charset val="1"/>
    </font>
    <font>
      <i/>
      <sz val="10"/>
      <color rgb="FF4A148C"/>
      <name val="Calibri"/>
      <family val="2"/>
      <charset val="1"/>
    </font>
    <font>
      <b/>
      <sz val="9.5"/>
      <color rgb="FFFFFFFF"/>
      <name val="Calibri"/>
      <family val="2"/>
      <charset val="1"/>
    </font>
    <font>
      <sz val="9.5"/>
      <color theme="1"/>
      <name val="Calibri"/>
      <family val="2"/>
      <charset val="1"/>
    </font>
    <font>
      <i/>
      <sz val="9.5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/>
      <sz val="10"/>
      <color rgb="FFFFFFFF"/>
      <name val="Calibri"/>
      <family val="2"/>
      <charset val="1"/>
    </font>
    <font>
      <b/>
      <sz val="10"/>
      <color rgb="FF311B92"/>
      <name val="Calibri"/>
      <family val="2"/>
      <charset val="1"/>
    </font>
    <font>
      <sz val="9"/>
      <color rgb="FF311B92"/>
      <name val="Calibri"/>
      <family val="2"/>
      <charset val="1"/>
    </font>
    <font>
      <i/>
      <sz val="9"/>
      <color rgb="FF4A148C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7D32"/>
        <bgColor rgb="FF008000"/>
      </patternFill>
    </fill>
    <fill>
      <patternFill patternType="solid">
        <fgColor rgb="FFE8F5E9"/>
        <bgColor rgb="FFEDE7F6"/>
      </patternFill>
    </fill>
    <fill>
      <patternFill patternType="solid">
        <fgColor rgb="FFB45309"/>
        <bgColor rgb="FF993366"/>
      </patternFill>
    </fill>
    <fill>
      <patternFill patternType="solid">
        <fgColor rgb="FF4A148C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AF5F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11B92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6A1B9A"/>
        <bgColor indexed="64"/>
      </patternFill>
    </fill>
  </fills>
  <borders count="11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  <border>
      <left/>
      <right/>
      <top style="thin">
        <color rgb="FFB39DDB"/>
      </top>
      <bottom/>
      <diagonal/>
    </border>
    <border>
      <left/>
      <right/>
      <top/>
      <bottom style="thin">
        <color rgb="FFB39DDB"/>
      </bottom>
      <diagonal/>
    </border>
    <border>
      <left style="thin">
        <color rgb="FFB39DDB"/>
      </left>
      <right/>
      <top style="thin">
        <color rgb="FFB39DDB"/>
      </top>
      <bottom/>
      <diagonal/>
    </border>
    <border>
      <left style="thin">
        <color rgb="FFB39DDB"/>
      </left>
      <right/>
      <top/>
      <bottom/>
      <diagonal/>
    </border>
    <border>
      <left style="thin">
        <color rgb="FFB39DDB"/>
      </left>
      <right/>
      <top/>
      <bottom style="thin">
        <color rgb="FFB39DDB"/>
      </bottom>
      <diagonal/>
    </border>
    <border>
      <left style="thin">
        <color rgb="FFB39DDB"/>
      </left>
      <right style="thin">
        <color rgb="FFB39DDB"/>
      </right>
      <top style="thin">
        <color rgb="FFB39DDB"/>
      </top>
      <bottom style="thin">
        <color rgb="FFB39DDB"/>
      </bottom>
      <diagonal/>
    </border>
    <border>
      <left/>
      <right style="thin">
        <color rgb="FFB39DDB"/>
      </right>
      <top style="thin">
        <color rgb="FFB39DDB"/>
      </top>
      <bottom/>
      <diagonal/>
    </border>
    <border>
      <left/>
      <right style="thin">
        <color rgb="FFB39DDB"/>
      </right>
      <top/>
      <bottom/>
      <diagonal/>
    </border>
    <border>
      <left/>
      <right style="thin">
        <color rgb="FFB39DDB"/>
      </right>
      <top/>
      <bottom style="thin">
        <color rgb="FFB39DDB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0" fillId="5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2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9" fontId="11" fillId="0" borderId="1" xfId="0" applyNumberFormat="1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9" fontId="12" fillId="0" borderId="1" xfId="0" applyNumberFormat="1" applyFont="1" applyBorder="1" applyAlignment="1">
      <alignment vertical="center" wrapText="1"/>
    </xf>
    <xf numFmtId="0" fontId="13" fillId="0" borderId="0" xfId="0" applyFont="1"/>
    <xf numFmtId="9" fontId="14" fillId="4" borderId="1" xfId="0" applyNumberFormat="1" applyFont="1" applyFill="1" applyBorder="1"/>
    <xf numFmtId="0" fontId="15" fillId="0" borderId="0" xfId="0" applyFont="1"/>
    <xf numFmtId="0" fontId="4" fillId="5" borderId="1" xfId="0" applyFont="1" applyFill="1" applyBorder="1" applyAlignment="1">
      <alignment horizontal="center" vertical="center" wrapText="1"/>
    </xf>
    <xf numFmtId="9" fontId="5" fillId="0" borderId="1" xfId="0" applyNumberFormat="1" applyFont="1" applyBorder="1" applyAlignment="1">
      <alignment vertical="center" wrapText="1"/>
    </xf>
    <xf numFmtId="0" fontId="17" fillId="6" borderId="0" xfId="0" applyFont="1" applyFill="1" applyAlignment="1">
      <alignment horizontal="left" vertical="center"/>
    </xf>
    <xf numFmtId="0" fontId="17" fillId="6" borderId="0" xfId="0" applyFont="1" applyFill="1" applyAlignment="1">
      <alignment horizontal="left" vertical="center" indent="1"/>
    </xf>
    <xf numFmtId="0" fontId="18" fillId="7" borderId="0" xfId="0" applyFont="1" applyFill="1" applyAlignment="1">
      <alignment vertical="center" indent="1"/>
    </xf>
    <xf numFmtId="0" fontId="18" fillId="7" borderId="0" xfId="0" applyFont="1" applyFill="1" applyAlignment="1">
      <alignment vertical="center"/>
    </xf>
    <xf numFmtId="0" fontId="19" fillId="6" borderId="7" xfId="0" applyFont="1" applyFill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7" xfId="0" applyFont="1" applyBorder="1" applyAlignment="1">
      <alignment vertical="center" wrapText="1"/>
    </xf>
    <xf numFmtId="14" fontId="20" fillId="0" borderId="7" xfId="0" applyNumberFormat="1" applyFont="1" applyBorder="1" applyAlignment="1">
      <alignment horizontal="center" vertical="center" wrapText="1"/>
    </xf>
    <xf numFmtId="9" fontId="20" fillId="0" borderId="7" xfId="0" applyNumberFormat="1" applyFont="1" applyBorder="1" applyAlignment="1">
      <alignment horizontal="center" vertical="center" wrapText="1"/>
    </xf>
    <xf numFmtId="0" fontId="21" fillId="8" borderId="7" xfId="0" applyFont="1" applyFill="1" applyBorder="1" applyAlignment="1">
      <alignment horizontal="center" vertical="center" wrapText="1"/>
    </xf>
    <xf numFmtId="0" fontId="20" fillId="9" borderId="7" xfId="0" applyFont="1" applyFill="1" applyBorder="1" applyAlignment="1">
      <alignment horizontal="center" vertical="center" wrapText="1"/>
    </xf>
    <xf numFmtId="0" fontId="20" fillId="9" borderId="7" xfId="0" applyFont="1" applyFill="1" applyBorder="1" applyAlignment="1">
      <alignment vertical="center" wrapText="1"/>
    </xf>
    <xf numFmtId="14" fontId="20" fillId="9" borderId="7" xfId="0" applyNumberFormat="1" applyFont="1" applyFill="1" applyBorder="1" applyAlignment="1">
      <alignment horizontal="center" vertical="center" wrapText="1"/>
    </xf>
    <xf numFmtId="9" fontId="20" fillId="9" borderId="7" xfId="0" applyNumberFormat="1" applyFont="1" applyFill="1" applyBorder="1" applyAlignment="1">
      <alignment horizontal="center" vertical="center" wrapText="1"/>
    </xf>
    <xf numFmtId="0" fontId="16" fillId="6" borderId="0" xfId="0" applyFont="1" applyFill="1" applyAlignment="1">
      <alignment vertical="center" indent="1"/>
    </xf>
    <xf numFmtId="0" fontId="22" fillId="7" borderId="7" xfId="0" applyFont="1" applyFill="1" applyBorder="1" applyAlignment="1">
      <alignment vertical="center" indent="1"/>
    </xf>
    <xf numFmtId="0" fontId="23" fillId="7" borderId="7" xfId="0" applyFont="1" applyFill="1" applyBorder="1" applyAlignment="1">
      <alignment vertical="center"/>
    </xf>
    <xf numFmtId="0" fontId="22" fillId="7" borderId="7" xfId="0" applyFont="1" applyFill="1" applyBorder="1" applyAlignment="1">
      <alignment horizontal="center" vertical="center"/>
    </xf>
    <xf numFmtId="0" fontId="22" fillId="10" borderId="7" xfId="0" applyFont="1" applyFill="1" applyBorder="1" applyAlignment="1">
      <alignment vertical="center" indent="1"/>
    </xf>
    <xf numFmtId="0" fontId="23" fillId="10" borderId="7" xfId="0" applyFont="1" applyFill="1" applyBorder="1" applyAlignment="1">
      <alignment vertical="center"/>
    </xf>
    <xf numFmtId="0" fontId="22" fillId="10" borderId="7" xfId="0" applyFont="1" applyFill="1" applyBorder="1" applyAlignment="1">
      <alignment horizontal="center" vertical="center"/>
    </xf>
    <xf numFmtId="9" fontId="22" fillId="7" borderId="7" xfId="0" applyNumberFormat="1" applyFont="1" applyFill="1" applyBorder="1" applyAlignment="1">
      <alignment horizontal="center" vertical="center"/>
    </xf>
    <xf numFmtId="9" fontId="22" fillId="10" borderId="7" xfId="0" applyNumberFormat="1" applyFont="1" applyFill="1" applyBorder="1" applyAlignment="1">
      <alignment horizontal="center" vertical="center"/>
    </xf>
    <xf numFmtId="0" fontId="24" fillId="11" borderId="0" xfId="0" applyFont="1" applyFill="1" applyAlignment="1">
      <alignment vertical="center" indent="1"/>
    </xf>
    <xf numFmtId="0" fontId="25" fillId="12" borderId="0" xfId="0" applyFont="1" applyFill="1" applyAlignment="1">
      <alignment vertical="center" wrapText="1"/>
    </xf>
    <xf numFmtId="0" fontId="25" fillId="12" borderId="0" xfId="0" applyFont="1" applyFill="1" applyAlignment="1">
      <alignment vertical="center" wrapText="1" indent="1"/>
    </xf>
    <xf numFmtId="0" fontId="26" fillId="7" borderId="0" xfId="0" applyFont="1" applyFill="1" applyBorder="1" applyAlignment="1">
      <alignment vertical="center" wrapText="1" indent="1"/>
    </xf>
    <xf numFmtId="0" fontId="24" fillId="13" borderId="2" xfId="0" applyFont="1" applyFill="1" applyBorder="1" applyAlignment="1">
      <alignment vertical="center" indent="1"/>
    </xf>
    <xf numFmtId="0" fontId="26" fillId="7" borderId="3" xfId="0" applyFont="1" applyFill="1" applyBorder="1" applyAlignment="1">
      <alignment vertical="center" wrapText="1" indent="1"/>
    </xf>
    <xf numFmtId="0" fontId="24" fillId="13" borderId="4" xfId="0" applyFont="1" applyFill="1" applyBorder="1" applyAlignment="1">
      <alignment vertical="center" indent="1"/>
    </xf>
    <xf numFmtId="0" fontId="26" fillId="7" borderId="5" xfId="0" applyFont="1" applyFill="1" applyBorder="1" applyAlignment="1">
      <alignment vertical="center" wrapText="1" indent="1"/>
    </xf>
    <xf numFmtId="0" fontId="26" fillId="7" borderId="6" xfId="0" applyFont="1" applyFill="1" applyBorder="1" applyAlignment="1">
      <alignment vertical="center" wrapText="1" indent="1"/>
    </xf>
    <xf numFmtId="0" fontId="26" fillId="7" borderId="9" xfId="0" applyFont="1" applyFill="1" applyBorder="1" applyAlignment="1">
      <alignment vertical="center" wrapText="1" indent="1"/>
    </xf>
    <xf numFmtId="0" fontId="26" fillId="7" borderId="10" xfId="0" applyFont="1" applyFill="1" applyBorder="1" applyAlignment="1">
      <alignment vertical="center" wrapText="1" indent="1"/>
    </xf>
    <xf numFmtId="0" fontId="24" fillId="13" borderId="8" xfId="0" applyFont="1" applyFill="1" applyBorder="1" applyAlignment="1">
      <alignment vertical="center" indent="1"/>
    </xf>
    <xf numFmtId="0" fontId="27" fillId="12" borderId="0" xfId="0" applyFont="1" applyFill="1" applyAlignment="1">
      <alignment vertical="center" wrapText="1"/>
    </xf>
    <xf numFmtId="0" fontId="27" fillId="12" borderId="0" xfId="0" applyFont="1" applyFill="1" applyAlignment="1">
      <alignment vertical="center" wrapText="1" indent="1"/>
    </xf>
  </cellXfs>
  <cellStyles count="1">
    <cellStyle name="Normal" xfId="0" builtinId="0"/>
  </cellStyles>
  <dxfs count="15">
    <dxf>
      <font>
        <color rgb="FF1B5E20"/>
      </font>
      <fill>
        <patternFill patternType="solid">
          <fgColor indexed="64"/>
          <bgColor rgb="FFC8E6C9"/>
        </patternFill>
      </fill>
    </dxf>
    <dxf>
      <font>
        <color rgb="FFB71C1C"/>
      </font>
      <fill>
        <patternFill patternType="solid">
          <fgColor indexed="64"/>
          <bgColor rgb="FFFFCDD2"/>
        </patternFill>
      </fill>
    </dxf>
    <dxf>
      <font>
        <b/>
        <i val="0"/>
        <color rgb="FF1B5E20"/>
      </font>
      <fill>
        <patternFill patternType="solid">
          <fgColor indexed="64"/>
          <bgColor rgb="FFC8E6C9"/>
        </patternFill>
      </fill>
    </dxf>
    <dxf>
      <font>
        <b/>
        <i val="0"/>
        <color rgb="FF7A5900"/>
      </font>
      <fill>
        <patternFill patternType="solid">
          <fgColor indexed="64"/>
          <bgColor rgb="FFFFF3C4"/>
        </patternFill>
      </fill>
    </dxf>
    <dxf>
      <font>
        <b/>
        <i val="0"/>
        <color rgb="FFB71C1C"/>
      </font>
      <fill>
        <patternFill patternType="solid">
          <fgColor indexed="64"/>
          <bgColor rgb="FFFFCDD2"/>
        </patternFill>
      </fill>
    </dxf>
    <dxf>
      <font>
        <b/>
        <i val="0"/>
        <color rgb="FF1B5E20"/>
      </font>
      <fill>
        <patternFill patternType="solid">
          <fgColor indexed="64"/>
          <bgColor rgb="FFC8E6C9"/>
        </patternFill>
      </fill>
    </dxf>
    <dxf>
      <font>
        <b/>
        <i val="0"/>
        <color rgb="FFB71C1C"/>
      </font>
      <fill>
        <patternFill patternType="solid">
          <fgColor indexed="64"/>
          <bgColor rgb="FFFFCDD2"/>
        </patternFill>
      </fill>
    </dxf>
    <dxf>
      <font>
        <b/>
        <i val="0"/>
        <color rgb="FFB71C1C"/>
      </font>
      <fill>
        <patternFill patternType="solid">
          <fgColor indexed="64"/>
          <bgColor rgb="FFFFCDD2"/>
        </patternFill>
      </fill>
    </dxf>
    <dxf>
      <font>
        <b/>
        <i val="0"/>
        <color rgb="FF7A3B00"/>
      </font>
      <fill>
        <patternFill patternType="solid">
          <fgColor indexed="64"/>
          <bgColor rgb="FFFFE0B2"/>
        </patternFill>
      </fill>
    </dxf>
    <dxf>
      <font>
        <b/>
        <i val="0"/>
        <color rgb="FF7A5900"/>
      </font>
      <fill>
        <patternFill patternType="solid">
          <fgColor indexed="64"/>
          <bgColor rgb="FFFFF3C4"/>
        </patternFill>
      </fill>
    </dxf>
    <dxf>
      <font>
        <b/>
        <i val="0"/>
        <color rgb="FF311B92"/>
      </font>
      <fill>
        <patternFill patternType="solid">
          <fgColor indexed="64"/>
          <bgColor rgb="FFD1C4E9"/>
        </patternFill>
      </fill>
    </dxf>
    <dxf>
      <font>
        <b/>
        <i val="0"/>
        <color rgb="FF1B5E20"/>
      </font>
      <fill>
        <patternFill patternType="solid">
          <fgColor indexed="64"/>
          <bgColor rgb="FFC8E6C9"/>
        </patternFill>
      </fill>
    </dxf>
    <dxf>
      <font>
        <color rgb="FF7A3B00"/>
      </font>
      <fill>
        <patternFill patternType="solid">
          <fgColor indexed="64"/>
          <bgColor rgb="FFFFE0B2"/>
        </patternFill>
      </fill>
    </dxf>
    <dxf>
      <font>
        <color rgb="FF7A5900"/>
      </font>
      <fill>
        <patternFill patternType="solid">
          <fgColor indexed="64"/>
          <bgColor rgb="FFFFF3C4"/>
        </patternFill>
      </fill>
    </dxf>
    <dxf>
      <font>
        <color rgb="FF1B5E20"/>
      </font>
      <fill>
        <patternFill patternType="solid">
          <fgColor indexed="64"/>
          <bgColor rgb="FFC8E6C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7C3"/>
      <rgbColor rgb="FF7F7F7F"/>
      <rgbColor rgb="FF9999FF"/>
      <rgbColor rgb="FF993366"/>
      <rgbColor rgb="FFE8F5E9"/>
      <rgbColor rgb="FFEDE7F6"/>
      <rgbColor rgb="FF4A148C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9000"/>
      <rgbColor rgb="FFFF6600"/>
      <rgbColor rgb="FF595959"/>
      <rgbColor rgb="FF969696"/>
      <rgbColor rgb="FF1F3864"/>
      <rgbColor rgb="FF2E7D32"/>
      <rgbColor rgb="FF003300"/>
      <rgbColor rgb="FF333300"/>
      <rgbColor rgb="FFB45309"/>
      <rgbColor rgb="FF993366"/>
      <rgbColor rgb="FF1F4E7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30"/>
  <sheetViews>
    <sheetView showGridLines="0" zoomScaleNormal="100" workbookViewId="0"/>
  </sheetViews>
  <sheetFormatPr baseColWidth="10" defaultColWidth="8.7109375" defaultRowHeight="15" x14ac:dyDescent="0.25"/>
  <cols>
    <col min="1" max="1" width="3" customWidth="1"/>
    <col min="2" max="2" width="34" customWidth="1"/>
    <col min="3" max="3" width="95" customWidth="1"/>
  </cols>
  <sheetData>
    <row r="2" spans="2:3" x14ac:dyDescent="0.25">
      <c r="B2" s="7" t="s">
        <v>0</v>
      </c>
      <c r="C2" s="7"/>
    </row>
    <row r="3" spans="2:3" ht="33.75" customHeight="1" x14ac:dyDescent="0.4">
      <c r="B3" s="6" t="s">
        <v>1</v>
      </c>
      <c r="C3" s="6"/>
    </row>
    <row r="4" spans="2:3" x14ac:dyDescent="0.25">
      <c r="B4" s="5" t="s">
        <v>2</v>
      </c>
      <c r="C4" s="5"/>
    </row>
    <row r="6" spans="2:3" x14ac:dyDescent="0.25">
      <c r="B6" s="8" t="s">
        <v>3</v>
      </c>
      <c r="C6" s="9" t="s">
        <v>4</v>
      </c>
    </row>
    <row r="7" spans="2:3" x14ac:dyDescent="0.25">
      <c r="B7" s="8" t="s">
        <v>5</v>
      </c>
      <c r="C7" s="9" t="s">
        <v>6</v>
      </c>
    </row>
    <row r="8" spans="2:3" x14ac:dyDescent="0.25">
      <c r="B8" s="8" t="s">
        <v>7</v>
      </c>
      <c r="C8" s="9" t="s">
        <v>8</v>
      </c>
    </row>
    <row r="9" spans="2:3" x14ac:dyDescent="0.25">
      <c r="B9" s="8" t="s">
        <v>9</v>
      </c>
      <c r="C9" s="9" t="s">
        <v>10</v>
      </c>
    </row>
    <row r="10" spans="2:3" x14ac:dyDescent="0.25">
      <c r="B10" s="8" t="s">
        <v>11</v>
      </c>
      <c r="C10" s="9" t="s">
        <v>12</v>
      </c>
    </row>
    <row r="11" spans="2:3" x14ac:dyDescent="0.25">
      <c r="B11" s="8" t="s">
        <v>13</v>
      </c>
      <c r="C11" s="9" t="s">
        <v>14</v>
      </c>
    </row>
    <row r="12" spans="2:3" x14ac:dyDescent="0.25">
      <c r="B12" s="8" t="s">
        <v>15</v>
      </c>
      <c r="C12" s="9" t="s">
        <v>16</v>
      </c>
    </row>
    <row r="14" spans="2:3" x14ac:dyDescent="0.25">
      <c r="B14" s="10" t="s">
        <v>17</v>
      </c>
    </row>
    <row r="15" spans="2:3" x14ac:dyDescent="0.25">
      <c r="B15" s="11" t="s">
        <v>18</v>
      </c>
      <c r="C15" s="11" t="s">
        <v>19</v>
      </c>
    </row>
    <row r="16" spans="2:3" ht="27.75" customHeight="1" x14ac:dyDescent="0.25">
      <c r="B16" s="12" t="s">
        <v>20</v>
      </c>
      <c r="C16" s="13" t="s">
        <v>21</v>
      </c>
    </row>
    <row r="17" spans="2:3" ht="27.75" customHeight="1" x14ac:dyDescent="0.25">
      <c r="B17" s="12" t="s">
        <v>22</v>
      </c>
      <c r="C17" s="13" t="s">
        <v>23</v>
      </c>
    </row>
    <row r="18" spans="2:3" ht="27.75" customHeight="1" x14ac:dyDescent="0.25">
      <c r="B18" s="12" t="s">
        <v>24</v>
      </c>
      <c r="C18" s="13" t="s">
        <v>25</v>
      </c>
    </row>
    <row r="19" spans="2:3" ht="27.75" customHeight="1" x14ac:dyDescent="0.25">
      <c r="B19" s="12" t="s">
        <v>26</v>
      </c>
      <c r="C19" s="13" t="s">
        <v>27</v>
      </c>
    </row>
    <row r="20" spans="2:3" ht="27.75" customHeight="1" x14ac:dyDescent="0.25">
      <c r="B20" s="12" t="s">
        <v>28</v>
      </c>
      <c r="C20" s="13" t="s">
        <v>29</v>
      </c>
    </row>
    <row r="21" spans="2:3" ht="27.75" customHeight="1" x14ac:dyDescent="0.25">
      <c r="B21" s="12" t="s">
        <v>30</v>
      </c>
      <c r="C21" s="13" t="s">
        <v>31</v>
      </c>
    </row>
    <row r="23" spans="2:3" x14ac:dyDescent="0.25">
      <c r="B23" s="10" t="s">
        <v>32</v>
      </c>
    </row>
    <row r="24" spans="2:3" x14ac:dyDescent="0.25">
      <c r="B24" s="4" t="s">
        <v>33</v>
      </c>
      <c r="C24" s="4"/>
    </row>
    <row r="25" spans="2:3" x14ac:dyDescent="0.25">
      <c r="B25" s="4" t="s">
        <v>34</v>
      </c>
      <c r="C25" s="4"/>
    </row>
    <row r="26" spans="2:3" x14ac:dyDescent="0.25">
      <c r="B26" s="4" t="s">
        <v>35</v>
      </c>
      <c r="C26" s="4"/>
    </row>
    <row r="27" spans="2:3" x14ac:dyDescent="0.25">
      <c r="B27" s="4" t="s">
        <v>36</v>
      </c>
      <c r="C27" s="4"/>
    </row>
    <row r="28" spans="2:3" x14ac:dyDescent="0.25">
      <c r="B28" s="4" t="s">
        <v>37</v>
      </c>
      <c r="C28" s="4"/>
    </row>
    <row r="30" spans="2:3" x14ac:dyDescent="0.25">
      <c r="B30" s="3" t="s">
        <v>38</v>
      </c>
      <c r="C30" s="3"/>
    </row>
  </sheetData>
  <mergeCells count="9">
    <mergeCell ref="B26:C26"/>
    <mergeCell ref="B27:C27"/>
    <mergeCell ref="B28:C28"/>
    <mergeCell ref="B30:C30"/>
    <mergeCell ref="B2:C2"/>
    <mergeCell ref="B3:C3"/>
    <mergeCell ref="B4:C4"/>
    <mergeCell ref="B24:C24"/>
    <mergeCell ref="B25:C25"/>
  </mergeCells>
  <pageMargins left="0.75" right="0.75" top="1" bottom="1" header="0.5" footer="0.5"/>
  <pageSetup paperSize="9" orientation="portrait" horizontalDpi="300" verticalDpi="300"/>
  <headerFooter>
    <oddHeader>&amp;C&amp;K7f7f7fPierre R.</oddHeader>
    <oddFooter>&amp;L&amp;K7f7f7fMS-SGC-003 · Plantilla genérica referencial · Autoría: Pierre R.&amp;R&amp;K7f7f7fPág.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10"/>
  <sheetViews>
    <sheetView showGridLines="0" zoomScaleNormal="100" workbookViewId="0"/>
  </sheetViews>
  <sheetFormatPr baseColWidth="10" defaultColWidth="8.7109375" defaultRowHeight="15" x14ac:dyDescent="0.25"/>
  <cols>
    <col min="1" max="1" width="4" customWidth="1"/>
    <col min="2" max="2" width="5" customWidth="1"/>
    <col min="3" max="3" width="42" customWidth="1"/>
    <col min="4" max="4" width="20" customWidth="1"/>
    <col min="5" max="6" width="14" customWidth="1"/>
    <col min="7" max="7" width="11" customWidth="1"/>
    <col min="8" max="8" width="30" customWidth="1"/>
  </cols>
  <sheetData>
    <row r="2" spans="1:8" ht="30" customHeight="1" x14ac:dyDescent="0.25">
      <c r="A2" s="2" t="s">
        <v>39</v>
      </c>
      <c r="B2" s="2"/>
      <c r="C2" s="2"/>
      <c r="D2" s="2"/>
      <c r="E2" s="2"/>
      <c r="F2" s="2"/>
      <c r="G2" s="2"/>
      <c r="H2" s="2"/>
    </row>
    <row r="4" spans="1:8" ht="24" x14ac:dyDescent="0.25">
      <c r="B4" s="14" t="s">
        <v>40</v>
      </c>
      <c r="C4" s="14" t="s">
        <v>41</v>
      </c>
      <c r="D4" s="14" t="s">
        <v>42</v>
      </c>
      <c r="E4" s="14" t="s">
        <v>43</v>
      </c>
      <c r="F4" s="14" t="s">
        <v>44</v>
      </c>
      <c r="G4" s="14" t="s">
        <v>45</v>
      </c>
      <c r="H4" s="14" t="s">
        <v>46</v>
      </c>
    </row>
    <row r="5" spans="1:8" x14ac:dyDescent="0.25">
      <c r="B5" s="15">
        <v>1</v>
      </c>
      <c r="C5" s="15" t="s">
        <v>47</v>
      </c>
      <c r="D5" s="15" t="s">
        <v>48</v>
      </c>
      <c r="E5" s="15" t="s">
        <v>49</v>
      </c>
      <c r="F5" s="15" t="s">
        <v>50</v>
      </c>
      <c r="G5" s="16">
        <v>1</v>
      </c>
      <c r="H5" s="15" t="s">
        <v>51</v>
      </c>
    </row>
    <row r="6" spans="1:8" x14ac:dyDescent="0.25">
      <c r="B6" s="15">
        <v>2</v>
      </c>
      <c r="C6" s="15" t="s">
        <v>52</v>
      </c>
      <c r="D6" s="15" t="s">
        <v>53</v>
      </c>
      <c r="E6" s="15" t="s">
        <v>54</v>
      </c>
      <c r="F6" s="15" t="s">
        <v>55</v>
      </c>
      <c r="G6" s="16">
        <v>0.5</v>
      </c>
      <c r="H6" s="15" t="s">
        <v>56</v>
      </c>
    </row>
    <row r="7" spans="1:8" x14ac:dyDescent="0.25">
      <c r="B7" s="17">
        <v>3</v>
      </c>
      <c r="C7" s="17" t="s">
        <v>57</v>
      </c>
      <c r="D7" s="17" t="s">
        <v>58</v>
      </c>
      <c r="E7" s="17" t="s">
        <v>8</v>
      </c>
      <c r="F7" s="17" t="s">
        <v>59</v>
      </c>
      <c r="G7" s="18">
        <v>0</v>
      </c>
      <c r="H7" s="17" t="s">
        <v>60</v>
      </c>
    </row>
    <row r="9" spans="1:8" x14ac:dyDescent="0.25">
      <c r="C9" s="19" t="s">
        <v>61</v>
      </c>
      <c r="G9" s="20">
        <f>IFERROR(AVERAGE(G5:G7),"")</f>
        <v>0.5</v>
      </c>
    </row>
    <row r="10" spans="1:8" x14ac:dyDescent="0.25">
      <c r="C10" s="21" t="s">
        <v>62</v>
      </c>
    </row>
  </sheetData>
  <mergeCells count="1">
    <mergeCell ref="A2:H2"/>
  </mergeCells>
  <dataValidations count="1">
    <dataValidation type="list" allowBlank="1" sqref="F5:F30" xr:uid="{00000000-0002-0000-0100-000000000000}">
      <formula1>"Pendiente,En curso,Concluida,Reprogramada,Cancelada"</formula1>
      <formula2>0</formula2>
    </dataValidation>
  </dataValidations>
  <pageMargins left="0.75" right="0.75" top="1" bottom="1" header="0.5" footer="0.5"/>
  <pageSetup paperSize="9" orientation="portrait" horizontalDpi="300" verticalDpi="300"/>
  <headerFooter>
    <oddHeader>&amp;C&amp;K7f7f7fPierre R.</oddHeader>
    <oddFooter>&amp;L&amp;K7f7f7fMS-SGC-003 · Plantilla genérica referencial · Autoría: Pierre R.&amp;R&amp;K7f7f7fPág.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9"/>
  <sheetViews>
    <sheetView showGridLines="0" zoomScaleNormal="100" workbookViewId="0"/>
  </sheetViews>
  <sheetFormatPr baseColWidth="10" defaultColWidth="8.7109375" defaultRowHeight="15" x14ac:dyDescent="0.25"/>
  <cols>
    <col min="1" max="1" width="3" customWidth="1"/>
    <col min="2" max="2" width="5" customWidth="1"/>
    <col min="3" max="3" width="34" customWidth="1"/>
    <col min="4" max="4" width="16" customWidth="1"/>
    <col min="5" max="5" width="12" customWidth="1"/>
    <col min="6" max="6" width="24" customWidth="1"/>
    <col min="7" max="8" width="12" customWidth="1"/>
    <col min="9" max="9" width="13" customWidth="1"/>
    <col min="10" max="10" width="12" customWidth="1"/>
    <col min="11" max="11" width="26" customWidth="1"/>
  </cols>
  <sheetData>
    <row r="2" spans="1:11" ht="30" customHeight="1" x14ac:dyDescent="0.25">
      <c r="A2" s="1" t="s">
        <v>63</v>
      </c>
      <c r="B2" s="1"/>
      <c r="C2" s="1"/>
      <c r="D2" s="1"/>
      <c r="E2" s="1"/>
      <c r="F2" s="1"/>
      <c r="G2" s="1"/>
      <c r="H2" s="1"/>
      <c r="I2" s="1"/>
      <c r="J2" s="1"/>
      <c r="K2" s="1"/>
    </row>
    <row r="4" spans="1:11" ht="24" x14ac:dyDescent="0.25">
      <c r="B4" s="22" t="s">
        <v>40</v>
      </c>
      <c r="C4" s="22" t="s">
        <v>64</v>
      </c>
      <c r="D4" s="22" t="s">
        <v>42</v>
      </c>
      <c r="E4" s="22" t="s">
        <v>43</v>
      </c>
      <c r="F4" s="22" t="s">
        <v>65</v>
      </c>
      <c r="G4" s="22" t="s">
        <v>66</v>
      </c>
      <c r="H4" s="22" t="s">
        <v>67</v>
      </c>
      <c r="I4" s="22" t="s">
        <v>68</v>
      </c>
      <c r="J4" s="22" t="s">
        <v>69</v>
      </c>
      <c r="K4" s="22" t="s">
        <v>70</v>
      </c>
    </row>
    <row r="5" spans="1:11" ht="24" x14ac:dyDescent="0.25">
      <c r="B5" s="9">
        <v>1</v>
      </c>
      <c r="C5" s="9" t="s">
        <v>71</v>
      </c>
      <c r="D5" s="9" t="s">
        <v>48</v>
      </c>
      <c r="E5" s="9" t="s">
        <v>72</v>
      </c>
      <c r="F5" s="9" t="s">
        <v>73</v>
      </c>
      <c r="G5" s="9">
        <v>24</v>
      </c>
      <c r="H5" s="9">
        <v>30</v>
      </c>
      <c r="I5" s="23" t="str">
        <f>IFERROR(IF(H5=0,"",MIN(F5/H5,2)),"")</f>
        <v/>
      </c>
      <c r="J5" s="9" t="str">
        <f>IF(I5="","",IF(I5&gt;=0.9,"● Verde",IF(I5&gt;=0.7,"● Ámbar","● Rojo")))</f>
        <v/>
      </c>
      <c r="K5" s="9" t="s">
        <v>74</v>
      </c>
    </row>
    <row r="6" spans="1:11" ht="24" x14ac:dyDescent="0.25">
      <c r="B6" s="9">
        <v>2</v>
      </c>
      <c r="C6" s="9" t="s">
        <v>75</v>
      </c>
      <c r="D6" s="9" t="s">
        <v>76</v>
      </c>
      <c r="E6" s="9" t="s">
        <v>77</v>
      </c>
      <c r="F6" s="9" t="s">
        <v>78</v>
      </c>
      <c r="G6" s="9">
        <v>0.02</v>
      </c>
      <c r="H6" s="9">
        <v>0.05</v>
      </c>
      <c r="I6" s="23" t="str">
        <f>IFERROR(IF(H6=0,"",MIN(F6/H6,2)),"")</f>
        <v/>
      </c>
      <c r="J6" s="9" t="str">
        <f>IF(I6="","",IF(I6&gt;=0.9,"● Verde",IF(I6&gt;=0.7,"● Ámbar","● Rojo")))</f>
        <v/>
      </c>
      <c r="K6" s="9" t="s">
        <v>74</v>
      </c>
    </row>
    <row r="7" spans="1:11" x14ac:dyDescent="0.25">
      <c r="B7" s="9">
        <v>3</v>
      </c>
      <c r="C7" s="9" t="s">
        <v>57</v>
      </c>
      <c r="D7" s="9" t="s">
        <v>58</v>
      </c>
      <c r="E7" s="9" t="s">
        <v>8</v>
      </c>
      <c r="F7" s="9" t="s">
        <v>79</v>
      </c>
      <c r="G7" s="9">
        <v>1</v>
      </c>
      <c r="H7" s="9">
        <v>0</v>
      </c>
      <c r="I7" s="23" t="str">
        <f>IFERROR(IF(F7=0,"",H7/F7),"")</f>
        <v/>
      </c>
      <c r="J7" s="9" t="str">
        <f>IF(I7="","",IF(I7&gt;=0.9,"● Verde",IF(I7&gt;=0.7,"● Ámbar","● Rojo")))</f>
        <v/>
      </c>
      <c r="K7" s="9" t="s">
        <v>60</v>
      </c>
    </row>
    <row r="9" spans="1:11" x14ac:dyDescent="0.25">
      <c r="C9" s="21" t="s">
        <v>80</v>
      </c>
    </row>
  </sheetData>
  <mergeCells count="1">
    <mergeCell ref="A2:K2"/>
  </mergeCells>
  <pageMargins left="0.75" right="0.75" top="1" bottom="1" header="0.5" footer="0.5"/>
  <pageSetup paperSize="9" orientation="portrait" horizontalDpi="300" verticalDpi="300"/>
  <headerFooter>
    <oddHeader>&amp;C&amp;K7f7f7fPierre R.</oddHeader>
    <oddFooter>&amp;L&amp;K7f7f7fMS-SGC-003 · Plantilla genérica referencial · Autoría: Pierre R.&amp;R&amp;K7f7f7fPág.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29"/>
  <sheetViews>
    <sheetView showGridLines="0" tabSelected="1" zoomScaleNormal="100" workbookViewId="0">
      <selection activeCell="F6" sqref="F6"/>
    </sheetView>
  </sheetViews>
  <sheetFormatPr baseColWidth="10" defaultColWidth="8.7109375" defaultRowHeight="15" x14ac:dyDescent="0.25"/>
  <cols>
    <col min="1" max="1" width="0.5703125" customWidth="1"/>
    <col min="2" max="2" width="15.28515625" customWidth="1"/>
    <col min="3" max="3" width="25.7109375" customWidth="1"/>
    <col min="4" max="4" width="33.28515625" customWidth="1"/>
    <col min="5" max="5" width="18.140625" customWidth="1"/>
    <col min="6" max="6" width="15.28515625" customWidth="1"/>
    <col min="7" max="7" width="10.42578125" customWidth="1"/>
    <col min="8" max="8" width="15.28515625" customWidth="1"/>
    <col min="9" max="9" width="12.42578125" customWidth="1"/>
    <col min="10" max="10" width="15.28515625" customWidth="1"/>
    <col min="11" max="11" width="28.5703125" customWidth="1"/>
    <col min="12" max="12" width="17.140625" customWidth="1"/>
    <col min="13" max="13" width="14.28515625" customWidth="1"/>
    <col min="14" max="14" width="25.7109375" customWidth="1"/>
  </cols>
  <sheetData>
    <row r="2" spans="2:14" ht="32.1" customHeight="1" x14ac:dyDescent="0.25">
      <c r="B2" s="25" t="s">
        <v>102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2:14" ht="20.100000000000001" customHeight="1" x14ac:dyDescent="0.25">
      <c r="B3" s="26" t="s">
        <v>103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5" spans="2:14" ht="38.1" customHeight="1" x14ac:dyDescent="0.25">
      <c r="B5" s="28" t="s">
        <v>81</v>
      </c>
      <c r="C5" s="28" t="s">
        <v>104</v>
      </c>
      <c r="D5" s="28" t="s">
        <v>64</v>
      </c>
      <c r="E5" s="28" t="s">
        <v>42</v>
      </c>
      <c r="F5" s="28" t="s">
        <v>105</v>
      </c>
      <c r="G5" s="28" t="s">
        <v>106</v>
      </c>
      <c r="H5" s="28" t="s">
        <v>107</v>
      </c>
      <c r="I5" s="28" t="s">
        <v>45</v>
      </c>
      <c r="J5" s="28" t="s">
        <v>108</v>
      </c>
      <c r="K5" s="28" t="s">
        <v>109</v>
      </c>
      <c r="L5" s="28" t="s">
        <v>110</v>
      </c>
      <c r="M5" s="28" t="s">
        <v>111</v>
      </c>
      <c r="N5" s="28" t="s">
        <v>112</v>
      </c>
    </row>
    <row r="6" spans="2:14" ht="30" customHeight="1" x14ac:dyDescent="0.25">
      <c r="B6" s="29" t="s">
        <v>82</v>
      </c>
      <c r="C6" s="30" t="s">
        <v>83</v>
      </c>
      <c r="D6" s="30" t="s">
        <v>84</v>
      </c>
      <c r="E6" s="30" t="s">
        <v>48</v>
      </c>
      <c r="F6" s="31">
        <v>46213</v>
      </c>
      <c r="G6" s="29">
        <v>0</v>
      </c>
      <c r="H6" s="29"/>
      <c r="I6" s="32">
        <v>1</v>
      </c>
      <c r="J6" s="33" t="str">
        <f>IF(B6="","",IF(AND(I6&gt;=1,L6="Eficaz"),"Concluida",IF(I6&gt;=1,"Por verificar",IF(I6&gt;0,"En curso",IF(G6&gt;0,"Reprogramada","Pendiente")))))</f>
        <v>Concluida</v>
      </c>
      <c r="K6" s="30" t="s">
        <v>85</v>
      </c>
      <c r="L6" s="29" t="s">
        <v>86</v>
      </c>
      <c r="M6" s="29" t="s">
        <v>87</v>
      </c>
      <c r="N6" s="30" t="s">
        <v>88</v>
      </c>
    </row>
    <row r="7" spans="2:14" ht="30" customHeight="1" x14ac:dyDescent="0.25">
      <c r="B7" s="34" t="s">
        <v>89</v>
      </c>
      <c r="C7" s="35" t="s">
        <v>90</v>
      </c>
      <c r="D7" s="35" t="s">
        <v>91</v>
      </c>
      <c r="E7" s="35" t="s">
        <v>76</v>
      </c>
      <c r="F7" s="36">
        <v>46249</v>
      </c>
      <c r="G7" s="34">
        <v>1</v>
      </c>
      <c r="H7" s="36">
        <v>46265</v>
      </c>
      <c r="I7" s="37">
        <v>0.6</v>
      </c>
      <c r="J7" s="33" t="str">
        <f>IF(B7="","",IF(AND(I7&gt;=1,L7="Eficaz"),"Concluida",IF(I7&gt;=1,"Por verificar",IF(I7&gt;0,"En curso",IF(G7&gt;0,"Reprogramada","Pendiente")))))</f>
        <v>En curso</v>
      </c>
      <c r="K7" s="35" t="s">
        <v>59</v>
      </c>
      <c r="L7" s="34"/>
      <c r="M7" s="34" t="s">
        <v>92</v>
      </c>
      <c r="N7" s="35" t="s">
        <v>93</v>
      </c>
    </row>
    <row r="8" spans="2:14" ht="30" customHeight="1" x14ac:dyDescent="0.25">
      <c r="B8" s="29" t="s">
        <v>94</v>
      </c>
      <c r="C8" s="30" t="s">
        <v>95</v>
      </c>
      <c r="D8" s="30"/>
      <c r="E8" s="30"/>
      <c r="F8" s="29"/>
      <c r="G8" s="29">
        <v>0</v>
      </c>
      <c r="H8" s="29"/>
      <c r="I8" s="32">
        <v>0</v>
      </c>
      <c r="J8" s="33" t="str">
        <f>IF(B8="","",IF(AND(I8&gt;=1,L8="Eficaz"),"Concluida",IF(I8&gt;=1,"Por verificar",IF(I8&gt;0,"En curso",IF(G8&gt;0,"Reprogramada","Pendiente")))))</f>
        <v>Pendiente</v>
      </c>
      <c r="K8" s="30"/>
      <c r="L8" s="29"/>
      <c r="M8" s="29"/>
      <c r="N8" s="30"/>
    </row>
    <row r="9" spans="2:14" ht="30" customHeight="1" x14ac:dyDescent="0.25">
      <c r="B9" s="34"/>
      <c r="C9" s="35"/>
      <c r="D9" s="35"/>
      <c r="E9" s="35"/>
      <c r="F9" s="34"/>
      <c r="G9" s="34"/>
      <c r="H9" s="34"/>
      <c r="I9" s="37"/>
      <c r="J9" s="33" t="str">
        <f>IF(B9="","",IF(AND(I9&gt;=1,L9="Eficaz"),"Concluida",IF(I9&gt;=1,"Por verificar",IF(I9&gt;0,"En curso",IF(G9&gt;0,"Reprogramada","Pendiente")))))</f>
        <v/>
      </c>
      <c r="K9" s="35"/>
      <c r="L9" s="34"/>
      <c r="M9" s="34"/>
      <c r="N9" s="35"/>
    </row>
    <row r="10" spans="2:14" ht="30" customHeight="1" x14ac:dyDescent="0.25">
      <c r="B10" s="29"/>
      <c r="C10" s="30"/>
      <c r="D10" s="30"/>
      <c r="E10" s="30"/>
      <c r="F10" s="29"/>
      <c r="G10" s="29"/>
      <c r="H10" s="29"/>
      <c r="I10" s="32"/>
      <c r="J10" s="33" t="str">
        <f>IF(B10="","",IF(AND(I10&gt;=1,L10="Eficaz"),"Concluida",IF(I10&gt;=1,"Por verificar",IF(I10&gt;0,"En curso",IF(G10&gt;0,"Reprogramada","Pendiente")))))</f>
        <v/>
      </c>
      <c r="K10" s="30"/>
      <c r="L10" s="29"/>
      <c r="M10" s="29"/>
      <c r="N10" s="30"/>
    </row>
    <row r="11" spans="2:14" ht="30" customHeight="1" x14ac:dyDescent="0.25">
      <c r="B11" s="34"/>
      <c r="C11" s="35"/>
      <c r="D11" s="35"/>
      <c r="E11" s="35"/>
      <c r="F11" s="34"/>
      <c r="G11" s="34"/>
      <c r="H11" s="34"/>
      <c r="I11" s="37"/>
      <c r="J11" s="33" t="str">
        <f>IF(B11="","",IF(AND(I11&gt;=1,L11="Eficaz"),"Concluida",IF(I11&gt;=1,"Por verificar",IF(I11&gt;0,"En curso",IF(G11&gt;0,"Reprogramada","Pendiente")))))</f>
        <v/>
      </c>
      <c r="K11" s="35"/>
      <c r="L11" s="34"/>
      <c r="M11" s="34"/>
      <c r="N11" s="35"/>
    </row>
    <row r="12" spans="2:14" ht="30" customHeight="1" x14ac:dyDescent="0.25">
      <c r="B12" s="29"/>
      <c r="C12" s="30"/>
      <c r="D12" s="30"/>
      <c r="E12" s="30"/>
      <c r="F12" s="29"/>
      <c r="G12" s="29"/>
      <c r="H12" s="29"/>
      <c r="I12" s="32"/>
      <c r="J12" s="33" t="str">
        <f>IF(B12="","",IF(AND(I12&gt;=1,L12="Eficaz"),"Concluida",IF(I12&gt;=1,"Por verificar",IF(I12&gt;0,"En curso",IF(G12&gt;0,"Reprogramada","Pendiente")))))</f>
        <v/>
      </c>
      <c r="K12" s="30"/>
      <c r="L12" s="29"/>
      <c r="M12" s="29"/>
      <c r="N12" s="30"/>
    </row>
    <row r="13" spans="2:14" ht="30" customHeight="1" x14ac:dyDescent="0.25">
      <c r="B13" s="34"/>
      <c r="C13" s="35"/>
      <c r="D13" s="35"/>
      <c r="E13" s="35"/>
      <c r="F13" s="34"/>
      <c r="G13" s="34"/>
      <c r="H13" s="34"/>
      <c r="I13" s="37"/>
      <c r="J13" s="33" t="str">
        <f>IF(B13="","",IF(AND(I13&gt;=1,L13="Eficaz"),"Concluida",IF(I13&gt;=1,"Por verificar",IF(I13&gt;0,"En curso",IF(G13&gt;0,"Reprogramada","Pendiente")))))</f>
        <v/>
      </c>
      <c r="K13" s="35"/>
      <c r="L13" s="34"/>
      <c r="M13" s="34"/>
      <c r="N13" s="35"/>
    </row>
    <row r="15" spans="2:14" ht="26.1" customHeight="1" x14ac:dyDescent="0.25">
      <c r="B15" s="38" t="s">
        <v>113</v>
      </c>
      <c r="C15" s="38"/>
      <c r="D15" s="38"/>
      <c r="E15" s="38"/>
      <c r="F15" s="47"/>
      <c r="G15" s="47"/>
      <c r="H15" s="47"/>
      <c r="I15" s="47"/>
      <c r="J15" s="47"/>
      <c r="K15" s="47"/>
      <c r="L15" s="47"/>
      <c r="M15" s="47"/>
      <c r="N15" s="47"/>
    </row>
    <row r="16" spans="2:14" ht="20.100000000000001" customHeight="1" x14ac:dyDescent="0.25">
      <c r="B16" s="39" t="s">
        <v>96</v>
      </c>
      <c r="C16" s="40"/>
      <c r="D16" s="41">
        <f>COUNTA(B6:B13)</f>
        <v>3</v>
      </c>
      <c r="F16" s="49" t="str" cm="1">
        <f t="array" ref="F16">IF(SUMPRODUCT((B6:B13&lt;&gt;"")*(I6:I13&gt;=1)*(L6:L13&lt;&gt;"Eficaz"))&gt;0,"ATENCION: hay "&amp;SUMPRODUCT((B6:B13&lt;&gt;"")*(I6:I13&gt;=1)*(L6:L13&lt;&gt;"Eficaz"))&amp;" accion(es) al 100% que NO pueden cerrarse - falta verificacion de eficacia documentada (Resultado debe ser ""Eficaz"").","OK - Sin pendientes de cierre: todas las acciones al 100% tienen eficacia verificada.")</f>
        <v>OK - Sin pendientes de cierre: todas las acciones al 100% tienen eficacia verificada.</v>
      </c>
      <c r="G16" s="48"/>
      <c r="H16" s="48"/>
      <c r="I16" s="48"/>
      <c r="J16" s="48"/>
      <c r="K16" s="48"/>
      <c r="L16" s="48"/>
      <c r="M16" s="48"/>
      <c r="N16" s="48"/>
    </row>
    <row r="17" spans="2:14" ht="20.100000000000001" customHeight="1" x14ac:dyDescent="0.25">
      <c r="B17" s="42" t="s">
        <v>97</v>
      </c>
      <c r="C17" s="43"/>
      <c r="D17" s="44">
        <f>COUNTIF(J6:J13,"Concluida")</f>
        <v>1</v>
      </c>
      <c r="F17" s="48"/>
      <c r="G17" s="48"/>
      <c r="H17" s="48"/>
      <c r="I17" s="48"/>
      <c r="J17" s="48"/>
      <c r="K17" s="48"/>
      <c r="L17" s="48"/>
      <c r="M17" s="48"/>
      <c r="N17" s="48"/>
    </row>
    <row r="18" spans="2:14" ht="20.100000000000001" customHeight="1" x14ac:dyDescent="0.25">
      <c r="B18" s="39" t="s">
        <v>114</v>
      </c>
      <c r="C18" s="40"/>
      <c r="D18" s="41">
        <f>COUNTIF(J6:J13,"Por verificar")</f>
        <v>0</v>
      </c>
      <c r="F18" s="48"/>
      <c r="G18" s="48"/>
      <c r="H18" s="48"/>
      <c r="I18" s="48"/>
      <c r="J18" s="48"/>
      <c r="K18" s="48"/>
      <c r="L18" s="48"/>
      <c r="M18" s="48"/>
      <c r="N18" s="48"/>
    </row>
    <row r="19" spans="2:14" ht="20.100000000000001" customHeight="1" x14ac:dyDescent="0.25">
      <c r="B19" s="42" t="s">
        <v>55</v>
      </c>
      <c r="C19" s="43"/>
      <c r="D19" s="44">
        <f>COUNTIF(J6:J13,"En curso")</f>
        <v>1</v>
      </c>
    </row>
    <row r="20" spans="2:14" ht="20.100000000000001" customHeight="1" x14ac:dyDescent="0.25">
      <c r="B20" s="39" t="s">
        <v>99</v>
      </c>
      <c r="C20" s="40"/>
      <c r="D20" s="41">
        <f>COUNTIF(J6:J13,"Reprogramada")</f>
        <v>0</v>
      </c>
      <c r="F20" s="53" t="s">
        <v>116</v>
      </c>
      <c r="G20" s="51"/>
      <c r="H20" s="51"/>
      <c r="I20" s="51"/>
      <c r="J20" s="51"/>
      <c r="K20" s="51"/>
      <c r="L20" s="51"/>
      <c r="M20" s="51"/>
      <c r="N20" s="58"/>
    </row>
    <row r="21" spans="2:14" ht="24" customHeight="1" x14ac:dyDescent="0.25">
      <c r="B21" s="42" t="s">
        <v>98</v>
      </c>
      <c r="C21" s="42"/>
      <c r="D21" s="44">
        <f>COUNTIF(J6:J13,"Pendiente")</f>
        <v>1</v>
      </c>
      <c r="F21" s="54" t="s">
        <v>117</v>
      </c>
      <c r="G21" s="50"/>
      <c r="H21" s="50"/>
      <c r="I21" s="50"/>
      <c r="J21" s="50"/>
      <c r="K21" s="50"/>
      <c r="L21" s="50"/>
      <c r="M21" s="50"/>
      <c r="N21" s="56"/>
    </row>
    <row r="22" spans="2:14" ht="24" customHeight="1" x14ac:dyDescent="0.25">
      <c r="B22" s="39" t="s">
        <v>100</v>
      </c>
      <c r="C22" s="39"/>
      <c r="D22" s="45">
        <f>IFERROR(AVERAGEIF(B6:B13,"&lt;&gt;",I6:I13),"")</f>
        <v>0.53333333333333333</v>
      </c>
      <c r="F22" s="54" t="s">
        <v>118</v>
      </c>
      <c r="G22" s="50"/>
      <c r="H22" s="50"/>
      <c r="I22" s="50"/>
      <c r="J22" s="50"/>
      <c r="K22" s="50"/>
      <c r="L22" s="50"/>
      <c r="M22" s="50"/>
      <c r="N22" s="56"/>
    </row>
    <row r="23" spans="2:14" ht="24" customHeight="1" x14ac:dyDescent="0.25">
      <c r="B23" s="42" t="s">
        <v>101</v>
      </c>
      <c r="C23" s="42"/>
      <c r="D23" s="46">
        <f>IFERROR(COUNTIF(L6:L13,"Eficaz")/(COUNTIF(L6:L13,"Eficaz")+COUNTIF(L6:L13,"No eficaz")),"")</f>
        <v>1</v>
      </c>
      <c r="F23" s="54" t="s">
        <v>119</v>
      </c>
      <c r="G23" s="50"/>
      <c r="H23" s="50"/>
      <c r="I23" s="50"/>
      <c r="J23" s="50"/>
      <c r="K23" s="50"/>
      <c r="L23" s="50"/>
      <c r="M23" s="50"/>
      <c r="N23" s="56"/>
    </row>
    <row r="24" spans="2:14" ht="24" customHeight="1" x14ac:dyDescent="0.25">
      <c r="B24" s="39" t="s">
        <v>115</v>
      </c>
      <c r="C24" s="39"/>
      <c r="D24" s="41">
        <f>COUNTIF(L6:L13,"No eficaz")</f>
        <v>0</v>
      </c>
      <c r="F24" s="54" t="s">
        <v>120</v>
      </c>
      <c r="G24" s="50"/>
      <c r="H24" s="50"/>
      <c r="I24" s="50"/>
      <c r="J24" s="50"/>
      <c r="K24" s="50"/>
      <c r="L24" s="50"/>
      <c r="M24" s="50"/>
      <c r="N24" s="56"/>
    </row>
    <row r="25" spans="2:14" ht="24" customHeight="1" x14ac:dyDescent="0.25">
      <c r="F25" s="54" t="s">
        <v>121</v>
      </c>
      <c r="G25" s="50"/>
      <c r="H25" s="50"/>
      <c r="I25" s="50"/>
      <c r="J25" s="50"/>
      <c r="K25" s="50"/>
      <c r="L25" s="50"/>
      <c r="M25" s="50"/>
      <c r="N25" s="56"/>
    </row>
    <row r="26" spans="2:14" ht="24" customHeight="1" x14ac:dyDescent="0.25">
      <c r="F26" s="54" t="s">
        <v>122</v>
      </c>
      <c r="G26" s="50"/>
      <c r="H26" s="50"/>
      <c r="I26" s="50"/>
      <c r="J26" s="50"/>
      <c r="K26" s="50"/>
      <c r="L26" s="50"/>
      <c r="M26" s="50"/>
      <c r="N26" s="56"/>
    </row>
    <row r="27" spans="2:14" ht="24" customHeight="1" x14ac:dyDescent="0.25">
      <c r="F27" s="55" t="s">
        <v>123</v>
      </c>
      <c r="G27" s="52"/>
      <c r="H27" s="52"/>
      <c r="I27" s="52"/>
      <c r="J27" s="52"/>
      <c r="K27" s="52"/>
      <c r="L27" s="52"/>
      <c r="M27" s="52"/>
      <c r="N27" s="57"/>
    </row>
    <row r="29" spans="2:14" ht="30" customHeight="1" x14ac:dyDescent="0.25">
      <c r="B29" s="60" t="s">
        <v>124</v>
      </c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</row>
  </sheetData>
  <mergeCells count="22">
    <mergeCell ref="F25:N25"/>
    <mergeCell ref="F26:N26"/>
    <mergeCell ref="F27:N27"/>
    <mergeCell ref="B29:N29"/>
    <mergeCell ref="B23:C23"/>
    <mergeCell ref="B24:C24"/>
    <mergeCell ref="F16:N18"/>
    <mergeCell ref="F20:N20"/>
    <mergeCell ref="F21:N21"/>
    <mergeCell ref="F22:N22"/>
    <mergeCell ref="F23:N23"/>
    <mergeCell ref="F24:N24"/>
    <mergeCell ref="B18:C18"/>
    <mergeCell ref="B19:C19"/>
    <mergeCell ref="B20:C20"/>
    <mergeCell ref="B21:C21"/>
    <mergeCell ref="B22:C22"/>
    <mergeCell ref="B16:C16"/>
    <mergeCell ref="B17:C17"/>
    <mergeCell ref="B2:N2"/>
    <mergeCell ref="B3:N3"/>
    <mergeCell ref="B15:N15"/>
  </mergeCells>
  <conditionalFormatting sqref="I6:I13">
    <cfRule type="cellIs" dxfId="14" priority="1" operator="greaterThanOrEqual">
      <formula>1</formula>
    </cfRule>
  </conditionalFormatting>
  <conditionalFormatting sqref="I6:I13">
    <cfRule type="cellIs" dxfId="13" priority="2" operator="greaterThanOrEqual">
      <formula>0.5</formula>
    </cfRule>
  </conditionalFormatting>
  <conditionalFormatting sqref="I6:I13">
    <cfRule type="cellIs" dxfId="12" priority="3" operator="greaterThan">
      <formula>0</formula>
    </cfRule>
  </conditionalFormatting>
  <conditionalFormatting sqref="J6:J13">
    <cfRule type="containsText" dxfId="11" priority="4" operator="containsText" text="Concluida">
      <formula>NOT(ISERROR(SEARCH("Concluida",J6)))</formula>
    </cfRule>
  </conditionalFormatting>
  <conditionalFormatting sqref="J6:J13">
    <cfRule type="containsText" dxfId="10" priority="5" operator="containsText" text="Por verificar">
      <formula>NOT(ISERROR(SEARCH("Por verificar",J6)))</formula>
    </cfRule>
  </conditionalFormatting>
  <conditionalFormatting sqref="J6:J13">
    <cfRule type="containsText" dxfId="9" priority="6" operator="containsText" text="En curso">
      <formula>NOT(ISERROR(SEARCH("En curso",J6)))</formula>
    </cfRule>
  </conditionalFormatting>
  <conditionalFormatting sqref="J6:J13">
    <cfRule type="containsText" dxfId="8" priority="7" operator="containsText" text="Reprogramada">
      <formula>NOT(ISERROR(SEARCH("Reprogramada",J6)))</formula>
    </cfRule>
  </conditionalFormatting>
  <conditionalFormatting sqref="J6:J13">
    <cfRule type="containsText" dxfId="7" priority="8" operator="containsText" text="Pendiente">
      <formula>NOT(ISERROR(SEARCH("Pendiente",J6)))</formula>
    </cfRule>
  </conditionalFormatting>
  <conditionalFormatting sqref="L6:L13">
    <cfRule type="containsText" dxfId="6" priority="9" operator="containsText" text="No eficaz">
      <formula>NOT(ISERROR(SEARCH("No eficaz",L6)))</formula>
    </cfRule>
  </conditionalFormatting>
  <conditionalFormatting sqref="L6:L13">
    <cfRule type="containsText" dxfId="5" priority="10" operator="containsText" text="Eficaz">
      <formula>NOT(ISERROR(SEARCH("Eficaz",L6)))</formula>
    </cfRule>
  </conditionalFormatting>
  <conditionalFormatting sqref="M6:M13">
    <cfRule type="containsText" dxfId="4" priority="11" operator="containsText" text="Alto">
      <formula>NOT(ISERROR(SEARCH("Alto",M6)))</formula>
    </cfRule>
  </conditionalFormatting>
  <conditionalFormatting sqref="M6:M13">
    <cfRule type="containsText" dxfId="3" priority="12" operator="containsText" text="Medio">
      <formula>NOT(ISERROR(SEARCH("Medio",M6)))</formula>
    </cfRule>
  </conditionalFormatting>
  <conditionalFormatting sqref="M6:M13">
    <cfRule type="containsText" dxfId="2" priority="13" operator="containsText" text="Bajo">
      <formula>NOT(ISERROR(SEARCH("Bajo",M6)))</formula>
    </cfRule>
  </conditionalFormatting>
  <conditionalFormatting sqref="F16:N18">
    <cfRule type="containsText" dxfId="1" priority="14" operator="containsText" text="ATENCIÓN">
      <formula>NOT(ISERROR(SEARCH("ATENCIÓN",F16)))</formula>
    </cfRule>
  </conditionalFormatting>
  <conditionalFormatting sqref="F16:N18">
    <cfRule type="containsText" dxfId="0" priority="15" operator="containsText" text="Sin pendientes">
      <formula>NOT(ISERROR(SEARCH("Sin pendientes",F16)))</formula>
    </cfRule>
  </conditionalFormatting>
  <dataValidations count="4">
    <dataValidation type="list" allowBlank="1" showInputMessage="1" showErrorMessage="1" sqref="C6:C13" xr:uid="{7821607E-7697-456A-9C98-CAFF8F9C6D59}">
      <formula1>"Auditoría interna (ISO 19011),Auditoría externa,No conformidad (NC),KPI fuera de meta (9.1),Queja de cliente,Revisión por la dirección (9.3),Riesgo / oportunidad (6.1)"</formula1>
    </dataValidation>
    <dataValidation type="list" allowBlank="1" showInputMessage="1" showErrorMessage="1" sqref="L6:L13" xr:uid="{0A58FDB6-43B6-4538-B7E0-62D8C0813FB3}">
      <formula1>"Eficaz,No eficaz,—"</formula1>
    </dataValidation>
    <dataValidation type="list" allowBlank="1" showInputMessage="1" showErrorMessage="1" sqref="M6:M13" xr:uid="{F68B5312-1531-4A8E-B3E9-E6D281E3F22B}">
      <formula1>"Alto,Medio,Bajo"</formula1>
    </dataValidation>
    <dataValidation type="list" allowBlank="1" showInputMessage="1" showErrorMessage="1" sqref="I6:I13" xr:uid="{5544303F-D79A-4EC9-BFF0-8A439799A058}">
      <formula1>"0,0.25,0.5,0.75,1"</formula1>
    </dataValidation>
  </dataValidations>
  <pageMargins left="0.75" right="0.75" top="1" bottom="1" header="0.5" footer="0.5"/>
  <pageSetup paperSize="9" orientation="portrait" horizontalDpi="300" verticalDpi="300"/>
  <headerFooter>
    <oddHeader>&amp;C&amp;K7f7f7fPierre R.</oddHeader>
    <oddFooter>&amp;L&amp;K7f7f7fMS-SGC-003 · Plantilla genérica referencial · Autoría: Pierre R.&amp;R&amp;K7f7f7fPág.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Portada e Instrucciones</vt:lpstr>
      <vt:lpstr>Nivel Básico</vt:lpstr>
      <vt:lpstr>Nivel Intermedio</vt:lpstr>
      <vt:lpstr>Nivel Avanzado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pierre R</cp:lastModifiedBy>
  <cp:revision>0</cp:revision>
  <dcterms:created xsi:type="dcterms:W3CDTF">2026-06-09T23:47:44Z</dcterms:created>
  <dcterms:modified xsi:type="dcterms:W3CDTF">2026-06-10T02:20:55Z</dcterms:modified>
  <dc:language>en-US</dc:language>
</cp:coreProperties>
</file>