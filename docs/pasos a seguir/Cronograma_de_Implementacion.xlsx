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prbg\Desktop\pasos a seguir\"/>
    </mc:Choice>
  </mc:AlternateContent>
  <xr:revisionPtr revIDLastSave="0" documentId="13_ncr:1_{5A29338C-966D-4AEA-9267-9EAB25BB804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ortada e Instrucciones" sheetId="1" r:id="rId1"/>
    <sheet name="Nivel Básico" sheetId="2" r:id="rId2"/>
    <sheet name="Nivel Intermedio" sheetId="3" r:id="rId3"/>
    <sheet name="Nivel Avanzado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" i="4" l="1"/>
  <c r="H21" i="4"/>
  <c r="H20" i="4"/>
  <c r="H19" i="4"/>
  <c r="H18" i="4"/>
  <c r="H17" i="4"/>
  <c r="H16" i="4"/>
  <c r="C20" i="4"/>
  <c r="C19" i="4"/>
  <c r="C16" i="4"/>
  <c r="C15" i="4"/>
  <c r="M11" i="4"/>
  <c r="K11" i="4"/>
  <c r="M10" i="4"/>
  <c r="M9" i="4"/>
  <c r="M8" i="4"/>
  <c r="M7" i="4"/>
  <c r="M6" i="4"/>
  <c r="N5" i="4"/>
  <c r="M5" i="4"/>
  <c r="H5" i="4"/>
  <c r="G12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7" i="2"/>
  <c r="G6" i="2"/>
  <c r="G5" i="2"/>
  <c r="G6" i="4" l="1"/>
  <c r="N6" i="4"/>
  <c r="F7" i="4" l="1"/>
  <c r="H6" i="4"/>
  <c r="N7" i="4" l="1"/>
  <c r="G7" i="4"/>
  <c r="F8" i="4" s="1"/>
  <c r="N8" i="4" l="1"/>
  <c r="G8" i="4"/>
  <c r="H7" i="4"/>
  <c r="H8" i="4" l="1"/>
  <c r="F9" i="4"/>
  <c r="G9" i="4" l="1"/>
  <c r="F10" i="4" s="1"/>
  <c r="N9" i="4"/>
  <c r="G10" i="4" l="1"/>
  <c r="H10" i="4"/>
  <c r="N10" i="4"/>
  <c r="C24" i="4" s="1"/>
  <c r="C21" i="4"/>
  <c r="I15" i="4"/>
  <c r="I20" i="4"/>
  <c r="H11" i="4"/>
  <c r="C23" i="4" s="1"/>
  <c r="C22" i="4"/>
  <c r="I18" i="4"/>
  <c r="I21" i="4"/>
  <c r="J15" i="4"/>
  <c r="I17" i="4"/>
  <c r="I16" i="4"/>
  <c r="I19" i="4"/>
  <c r="H9" i="4"/>
  <c r="C18" i="4"/>
  <c r="C17" i="4"/>
  <c r="J18" i="4" l="1"/>
  <c r="J21" i="4"/>
  <c r="J16" i="4"/>
  <c r="K15" i="4"/>
  <c r="J19" i="4"/>
  <c r="J17" i="4"/>
  <c r="J20" i="4"/>
  <c r="K17" i="4" l="1"/>
  <c r="K21" i="4"/>
  <c r="K16" i="4"/>
  <c r="L15" i="4"/>
  <c r="K18" i="4"/>
  <c r="K19" i="4"/>
  <c r="K20" i="4"/>
  <c r="L19" i="4" l="1"/>
  <c r="L20" i="4"/>
  <c r="M15" i="4"/>
  <c r="L21" i="4"/>
  <c r="L16" i="4"/>
  <c r="L18" i="4"/>
  <c r="L17" i="4"/>
  <c r="M16" i="4" l="1"/>
  <c r="M18" i="4"/>
  <c r="M20" i="4"/>
  <c r="M21" i="4"/>
  <c r="M17" i="4"/>
  <c r="N15" i="4"/>
  <c r="M19" i="4"/>
  <c r="O15" i="4" l="1"/>
  <c r="N17" i="4"/>
  <c r="N19" i="4"/>
  <c r="N16" i="4"/>
  <c r="N20" i="4"/>
  <c r="N21" i="4"/>
  <c r="N18" i="4"/>
  <c r="O19" i="4" l="1"/>
  <c r="O17" i="4"/>
  <c r="P15" i="4"/>
  <c r="O21" i="4"/>
  <c r="O18" i="4"/>
  <c r="O16" i="4"/>
  <c r="O20" i="4"/>
  <c r="P17" i="4" l="1"/>
  <c r="P18" i="4"/>
  <c r="P16" i="4"/>
  <c r="P19" i="4"/>
  <c r="Q15" i="4"/>
  <c r="P21" i="4"/>
  <c r="P20" i="4"/>
  <c r="Q19" i="4" l="1"/>
  <c r="Q18" i="4"/>
  <c r="Q17" i="4"/>
  <c r="Q20" i="4"/>
  <c r="Q21" i="4"/>
  <c r="Q16" i="4"/>
  <c r="R15" i="4"/>
  <c r="R17" i="4" l="1"/>
  <c r="R19" i="4"/>
  <c r="R16" i="4"/>
  <c r="R18" i="4"/>
  <c r="R21" i="4"/>
  <c r="R20" i="4"/>
  <c r="S15" i="4"/>
  <c r="S19" i="4" l="1"/>
  <c r="S18" i="4"/>
  <c r="S20" i="4"/>
  <c r="S21" i="4"/>
  <c r="T15" i="4"/>
  <c r="S17" i="4"/>
  <c r="S16" i="4"/>
  <c r="T16" i="4" l="1"/>
  <c r="T20" i="4"/>
  <c r="T19" i="4"/>
  <c r="T21" i="4"/>
  <c r="T18" i="4"/>
  <c r="T17" i="4"/>
  <c r="U15" i="4"/>
  <c r="U20" i="4" l="1"/>
  <c r="U19" i="4"/>
  <c r="U21" i="4"/>
  <c r="V15" i="4"/>
  <c r="U16" i="4"/>
  <c r="U17" i="4"/>
  <c r="U18" i="4"/>
  <c r="V21" i="4" l="1"/>
  <c r="V20" i="4"/>
  <c r="V17" i="4"/>
  <c r="V18" i="4"/>
  <c r="V19" i="4"/>
  <c r="V16" i="4"/>
</calcChain>
</file>

<file path=xl/sharedStrings.xml><?xml version="1.0" encoding="utf-8"?>
<sst xmlns="http://schemas.openxmlformats.org/spreadsheetml/2006/main" count="170" uniqueCount="148">
  <si>
    <t>SISTEMA DE GESTIÓN DE LA CALIDAD — SGC</t>
  </si>
  <si>
    <t>CRONOGRAMA DE IMPLEMENTACIÓN DE MEJORAS</t>
  </si>
  <si>
    <t>Plantilla genérica y referencial — Tres niveles internos: Básico · Intermedio · Avanzado (use solo el que corresponda a la madurez de su SGC)</t>
  </si>
  <si>
    <t>Código del documento</t>
  </si>
  <si>
    <t>CR-SGC-002</t>
  </si>
  <si>
    <t>Versión</t>
  </si>
  <si>
    <t>01</t>
  </si>
  <si>
    <t>Fecha de emisión</t>
  </si>
  <si>
    <t>[DD/MM/AAAA]</t>
  </si>
  <si>
    <t>Proceso / Área</t>
  </si>
  <si>
    <t>[NOMBRE DEL PROCESO]</t>
  </si>
  <si>
    <t>Elaborado por</t>
  </si>
  <si>
    <t>[NOMBRE Y CARGO] — Plantilla base: Pierre R.</t>
  </si>
  <si>
    <t>Revisado por</t>
  </si>
  <si>
    <t>[NOMBRE Y CARGO]</t>
  </si>
  <si>
    <t>Aprobado por</t>
  </si>
  <si>
    <t>[NOMBRE Y CARGO — Alta Dirección, cláusula 5.1 NTP-ISO 9001:2015]</t>
  </si>
  <si>
    <t>MARCO NORMATIVO Y BUENAS PRÁCTICAS DE REFERENCIA</t>
  </si>
  <si>
    <t>Norma / Marco</t>
  </si>
  <si>
    <t>Aplicación en este documento</t>
  </si>
  <si>
    <t>NTP-ISO 9001:2015 — cláusula 6.2.2.c/d</t>
  </si>
  <si>
    <t>Cada acción planificada debe tener responsable y fecha de finalización; el cronograma evidencia el CUÁNDO del plan.</t>
  </si>
  <si>
    <t>NTP-ISO 9001:2015 — cláusula 8.1</t>
  </si>
  <si>
    <t>Planificación y control operacional: la implementación de cambios debe ser planificada y controlada.</t>
  </si>
  <si>
    <t>Ciclo PHVA (Deming)</t>
  </si>
  <si>
    <t>El cronograma estructura la fase HACER y habilita la fase VERIFICAR mediante hitos y % de avance.</t>
  </si>
  <si>
    <t>Norma Técnica N° 001-2018-PCM/SGP (Perú)</t>
  </si>
  <si>
    <t>En entidades públicas, la mejora de procesos requiere planes con plazos verificables alineados al POI.</t>
  </si>
  <si>
    <t>PMBOK / buenas prácticas de gestión de proyectos</t>
  </si>
  <si>
    <t>Diagrama de Gantt, hitos, dependencias (predecesoras) y avance ponderado: incorporados en los niveles Intermedio y Avanzado.</t>
  </si>
  <si>
    <t>Lean / Kaizen</t>
  </si>
  <si>
    <t>Eventos de mejora rápida: cronogramas cortos (1–4 semanas) para quick wins, nivel Básico.</t>
  </si>
  <si>
    <t>INSTRUCCIONES DE LLENADO</t>
  </si>
  <si>
    <t>1. Los campos editables están marcados como [DATO] o contienen datos de ejemplo en cursiva: reemplácelos.</t>
  </si>
  <si>
    <t>2. Elija UNA sola hoja de nivel (Básico, Intermedio o Avanzado) y elimine las demás antes de oficializar.</t>
  </si>
  <si>
    <t>3. No borre las celdas con fórmulas (duración, % avance, semáforos): se recalculan automáticamente.</t>
  </si>
  <si>
    <t>4. Adapte las referencias normativas a la normativa interna de su organización y al marco legal sectorial.</t>
  </si>
  <si>
    <t>5. Vincule este documento con el Plan de Acción PA-SGC-001 y el Reporte de Mejora RM-SGC-004.</t>
  </si>
  <si>
    <t>Documento genérico y referencial elaborado conforme a NTP-ISO 9001:2015 (INACAL) y normativa peruana de modernización · Autoría de plantilla: Pierre R.</t>
  </si>
  <si>
    <t>NIVEL BÁSICO — Lista simple de actividades con duración automática (qué, quién, cuándo)</t>
  </si>
  <si>
    <t>N°</t>
  </si>
  <si>
    <t>Actividad / acción de mejora</t>
  </si>
  <si>
    <t>Responsable</t>
  </si>
  <si>
    <t>Fecha inicio</t>
  </si>
  <si>
    <t>Fecha fin</t>
  </si>
  <si>
    <t>Duración (días)</t>
  </si>
  <si>
    <t>Estado</t>
  </si>
  <si>
    <t>Observaciones</t>
  </si>
  <si>
    <t>Actualizar procedimiento de atención de pedidos</t>
  </si>
  <si>
    <t>Jefe de Operaciones</t>
  </si>
  <si>
    <t>2026-07-01</t>
  </si>
  <si>
    <t>2026-07-10</t>
  </si>
  <si>
    <t>Pendiente</t>
  </si>
  <si>
    <t>Dato de ejemplo: reemplazar</t>
  </si>
  <si>
    <t>Capacitar al personal en el nuevo procedimiento (cláusula 7.2)</t>
  </si>
  <si>
    <t>RR.HH. / Calidad</t>
  </si>
  <si>
    <t>2026-07-11</t>
  </si>
  <si>
    <t>2026-07-15</t>
  </si>
  <si>
    <t>[DESCRIBIR ACTIVIDAD]</t>
  </si>
  <si>
    <t>[RESPONSABLE]</t>
  </si>
  <si>
    <t>2026-07-16</t>
  </si>
  <si>
    <t>2026-07-31</t>
  </si>
  <si>
    <t>[NOTA]</t>
  </si>
  <si>
    <t>Buena práctica: registre fechas en formato AAAA-MM-DD; la duración se calcula sola. Estados con lista desplegable.</t>
  </si>
  <si>
    <t>NIVEL INTERMEDIO — Diagrama de Gantt semanal con barra automática y % de avance</t>
  </si>
  <si>
    <t>Actividad</t>
  </si>
  <si>
    <t>Sem. inicio</t>
  </si>
  <si>
    <t>Sem. fin</t>
  </si>
  <si>
    <t>% Avance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</si>
  <si>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</si>
  <si>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</si>
  <si>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</si>
  <si>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</si>
  <si>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</si>
  <si>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</si>
  <si>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</si>
  <si>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</si>
  <si>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</si>
  <si>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</si>
  <si>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</si>
  <si>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</si>
  <si>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</si>
  <si>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</si>
  <si>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</si>
  <si>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</si>
  <si>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Diagnóstico y línea base del proceso (9.1)</t>
  </si>
  <si>
    <t>Equipo de mejora</t>
  </si>
  <si>
    <t>Rediseño del proceso / elaboración de documentos (7.5)</t>
  </si>
  <si>
    <t>Dueño del proceso</t>
  </si>
  <si>
    <t>Capacitación y comunicación (7.2 / 7.4)</t>
  </si>
  <si>
    <t>RR.HH.</t>
  </si>
  <si>
    <t>Implementación piloto</t>
  </si>
  <si>
    <t>Verificación de eficacia (10.2.1.d) y ajuste</t>
  </si>
  <si>
    <t>Calidad</t>
  </si>
  <si>
    <t>[ACTIVIDAD]</t>
  </si>
  <si>
    <t>AVANCE GLOBAL DEL CRONOGRAMA</t>
  </si>
  <si>
    <t>La barra ■ se dibuja sola según semana de inicio y fin. Datos de ejemplo: reemplazar.</t>
  </si>
  <si>
    <t>NIVEL AVANZADO — Cronograma por fases PHVA con dependencias, hitos, pesos y avance ponderado</t>
  </si>
  <si>
    <t>Fase PHVA</t>
  </si>
  <si>
    <t>Responsable (RACI: R)</t>
  </si>
  <si>
    <t>Inicio</t>
  </si>
  <si>
    <t>Fin</t>
  </si>
  <si>
    <t>Predecesora (N°)</t>
  </si>
  <si>
    <t>Hito (Sí/No)</t>
  </si>
  <si>
    <t>Peso %</t>
  </si>
  <si>
    <t>Avance ponderado</t>
  </si>
  <si>
    <t>Riesgo / observación (6.1)</t>
  </si>
  <si>
    <t>P</t>
  </si>
  <si>
    <t>Conformar equipo de mejora y aprobar charter</t>
  </si>
  <si>
    <t>Alta Dirección / Calidad</t>
  </si>
  <si>
    <t>—</t>
  </si>
  <si>
    <t>Sí</t>
  </si>
  <si>
    <t>Medir línea base de indicadores (9.1.1)</t>
  </si>
  <si>
    <t>Analista de procesos</t>
  </si>
  <si>
    <t>1</t>
  </si>
  <si>
    <t>No</t>
  </si>
  <si>
    <t>Disponibilidad de datos históricos</t>
  </si>
  <si>
    <t>Análisis de causa raíz (Ishikawa / 5 Porqués)</t>
  </si>
  <si>
    <t>2</t>
  </si>
  <si>
    <t>Sesgo en identificación de causas</t>
  </si>
  <si>
    <t>H</t>
  </si>
  <si>
    <t>Implementar acciones del Plan PA-SGC-001</t>
  </si>
  <si>
    <t>3</t>
  </si>
  <si>
    <t>Resistencia al cambio (7.3 toma de conciencia)</t>
  </si>
  <si>
    <t>V</t>
  </si>
  <si>
    <t>Verificar eficacia de acciones (10.2.1.d)</t>
  </si>
  <si>
    <t>4</t>
  </si>
  <si>
    <t>Periodo de medición insuficiente</t>
  </si>
  <si>
    <t>A</t>
  </si>
  <si>
    <t>Estandarizar: actualizar documentos y capacitar (7.5/7.2)</t>
  </si>
  <si>
    <t>Calidad / RR.HH.</t>
  </si>
  <si>
    <t>5</t>
  </si>
  <si>
    <t>AVANCE PONDERADO GLOBAL (Σ peso × avance)</t>
  </si>
  <si>
    <t>Días</t>
  </si>
  <si>
    <t>PANEL DE CONTROL DEL CRONOGRAMA (cálculo automático)</t>
  </si>
  <si>
    <t>Avance ponderado global</t>
  </si>
  <si>
    <t>Avance simple (promedio % actividades)</t>
  </si>
  <si>
    <t>Actividades concluidas</t>
  </si>
  <si>
    <t>Actividades vencidas (alerta)</t>
  </si>
  <si>
    <t>Hitos comprometidos</t>
  </si>
  <si>
    <t>Suma de pesos (debe ser 100%)</t>
  </si>
  <si>
    <t>Fecha de inicio del cronograma</t>
  </si>
  <si>
    <t>Fecha de fin del cronograma</t>
  </si>
  <si>
    <t>Duración total (días)</t>
  </si>
  <si>
    <t>Salud del cronograma</t>
  </si>
  <si>
    <t>DIAGRAMA DE GANTT SEMANAL — la barra ▓ se dibuja sola según fechas Inicio/Fin</t>
  </si>
  <si>
    <t>Actividad \ Semana</t>
  </si>
  <si>
    <t>Cronograma con fórmulas: el Inicio se encadena al Fin de la predecesora (cascada), la Duración, el Estado y el Gantt se calculan solos. Verifique que la suma de pesos = 100% (NTP-ISO 9001:2015, cláusula 0.3.2).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</si>
</sst>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dd\-mmm"/>
  </numFmts>
  <fonts count="24" x14ac:knownFonts="1">
    <font>
      <sz val="11"/>
      <color theme="1"/>
      <name val="Calibri"/>
      <family val="2"/>
      <charset val="1"/>
    </font>
    <font>
      <b/>
      <sz val="11"/>
      <color rgb="FFBF9000"/>
      <name val="Arial"/>
      <charset val="1"/>
    </font>
    <font>
      <b/>
      <sz val="20"/>
      <color rgb="FF1F3864"/>
      <name val="Arial"/>
      <charset val="1"/>
    </font>
    <font>
      <i/>
      <sz val="9"/>
      <color rgb="FF595959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10"/>
      <color rgb="FF1F3864"/>
      <name val="Arial"/>
      <charset val="1"/>
    </font>
    <font>
      <b/>
      <sz val="8.5"/>
      <name val="Arial"/>
      <charset val="1"/>
    </font>
    <font>
      <sz val="8.5"/>
      <name val="Arial"/>
      <charset val="1"/>
    </font>
    <font>
      <i/>
      <sz val="8"/>
      <color rgb="FF7F7F7F"/>
      <name val="Arial"/>
      <charset val="1"/>
    </font>
    <font>
      <b/>
      <sz val="11"/>
      <color rgb="FFFFFFFF"/>
      <name val="Arial"/>
      <charset val="1"/>
    </font>
    <font>
      <i/>
      <sz val="9"/>
      <color rgb="FF1F4E79"/>
      <name val="Arial"/>
      <charset val="1"/>
    </font>
    <font>
      <sz val="9"/>
      <color rgb="FF262626"/>
      <name val="Arial"/>
      <charset val="1"/>
    </font>
    <font>
      <i/>
      <sz val="8.5"/>
      <color rgb="FF2E7D32"/>
      <name val="Arial"/>
      <charset val="1"/>
    </font>
    <font>
      <b/>
      <sz val="8"/>
      <color rgb="FFFFFFFF"/>
      <name val="Arial"/>
      <charset val="1"/>
    </font>
    <font>
      <sz val="9"/>
      <color rgb="FFB45309"/>
      <name val="Arial"/>
      <charset val="1"/>
    </font>
    <font>
      <b/>
      <sz val="9"/>
      <color rgb="FFB45309"/>
      <name val="Arial"/>
      <charset val="1"/>
    </font>
    <font>
      <b/>
      <sz val="10"/>
      <color rgb="FFB45309"/>
      <name val="Arial"/>
      <charset val="1"/>
    </font>
    <font>
      <i/>
      <sz val="8.5"/>
      <color rgb="FF7F7F7F"/>
      <name val="Arial"/>
      <charset val="1"/>
    </font>
    <font>
      <b/>
      <sz val="9"/>
      <color rgb="FF4A148C"/>
      <name val="Arial"/>
      <charset val="1"/>
    </font>
    <font>
      <b/>
      <sz val="10"/>
      <color rgb="FF4A148C"/>
      <name val="Arial"/>
      <charset val="1"/>
    </font>
    <font>
      <b/>
      <sz val="11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4A148C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D32"/>
        <bgColor rgb="FF008000"/>
      </patternFill>
    </fill>
    <fill>
      <patternFill patternType="solid">
        <fgColor rgb="FFB45309"/>
        <bgColor rgb="FF993366"/>
      </patternFill>
    </fill>
    <fill>
      <patternFill patternType="solid">
        <fgColor rgb="FFFDEBD0"/>
        <bgColor rgb="FFEDE7F6"/>
      </patternFill>
    </fill>
    <fill>
      <patternFill patternType="solid">
        <fgColor rgb="FF4A148C"/>
        <bgColor rgb="FF800080"/>
      </patternFill>
    </fill>
    <fill>
      <patternFill patternType="solid">
        <fgColor rgb="FFEDE7F6"/>
        <bgColor rgb="FFFDEBD0"/>
      </patternFill>
    </fill>
    <fill>
      <patternFill patternType="solid">
        <fgColor rgb="FF4A148C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7B1FA2"/>
        <bgColor indexed="64"/>
      </patternFill>
    </fill>
  </fills>
  <borders count="5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  <border>
      <left style="thin">
        <color rgb="FFB0B7C3"/>
      </left>
      <right style="thin">
        <color rgb="FFB0B7C3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0" fillId="6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/>
    </xf>
    <xf numFmtId="9" fontId="5" fillId="0" borderId="1" xfId="0" applyNumberFormat="1" applyFont="1" applyBorder="1" applyAlignment="1">
      <alignment vertical="center" wrapText="1"/>
    </xf>
    <xf numFmtId="0" fontId="15" fillId="0" borderId="2" xfId="0" applyFont="1" applyBorder="1" applyAlignment="1">
      <alignment horizontal="center"/>
    </xf>
    <xf numFmtId="0" fontId="16" fillId="0" borderId="0" xfId="0" applyFont="1"/>
    <xf numFmtId="9" fontId="17" fillId="5" borderId="1" xfId="0" applyNumberFormat="1" applyFont="1" applyFill="1" applyBorder="1"/>
    <xf numFmtId="0" fontId="18" fillId="0" borderId="0" xfId="0" applyFont="1"/>
    <xf numFmtId="0" fontId="4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19" fillId="0" borderId="0" xfId="0" applyFont="1"/>
    <xf numFmtId="9" fontId="19" fillId="0" borderId="1" xfId="0" applyNumberFormat="1" applyFont="1" applyBorder="1"/>
    <xf numFmtId="164" fontId="20" fillId="7" borderId="1" xfId="0" applyNumberFormat="1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21" fillId="8" borderId="0" xfId="0" applyFont="1" applyFill="1"/>
    <xf numFmtId="0" fontId="21" fillId="8" borderId="4" xfId="0" applyFont="1" applyFill="1" applyBorder="1"/>
    <xf numFmtId="0" fontId="22" fillId="9" borderId="4" xfId="0" applyFont="1" applyFill="1" applyBorder="1"/>
    <xf numFmtId="164" fontId="22" fillId="0" borderId="4" xfId="0" applyNumberFormat="1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9" fontId="22" fillId="0" borderId="4" xfId="0" applyNumberFormat="1" applyFont="1" applyBorder="1" applyAlignment="1">
      <alignment horizontal="center"/>
    </xf>
    <xf numFmtId="165" fontId="22" fillId="0" borderId="4" xfId="0" applyNumberFormat="1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166" fontId="21" fillId="10" borderId="4" xfId="0" applyNumberFormat="1" applyFont="1" applyFill="1" applyBorder="1" applyAlignment="1">
      <alignment horizontal="center"/>
    </xf>
    <xf numFmtId="0" fontId="21" fillId="10" borderId="4" xfId="0" applyFont="1" applyFill="1" applyBorder="1" applyAlignment="1">
      <alignment horizontal="center"/>
    </xf>
    <xf numFmtId="0" fontId="0" fillId="0" borderId="4" xfId="0" applyBorder="1"/>
    <xf numFmtId="1" fontId="5" fillId="0" borderId="1" xfId="0" applyNumberFormat="1" applyFont="1" applyBorder="1" applyAlignment="1">
      <alignment horizontal="center" vertical="center" wrapText="1"/>
    </xf>
    <xf numFmtId="1" fontId="5" fillId="0" borderId="3" xfId="0" applyNumberFormat="1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" fontId="22" fillId="0" borderId="4" xfId="0" applyNumberFormat="1" applyFont="1" applyBorder="1" applyAlignment="1">
      <alignment horizontal="center"/>
    </xf>
  </cellXfs>
  <cellStyles count="1">
    <cellStyle name="Normal" xfId="0" builtinId="0"/>
  </cellStyles>
  <dxfs count="6">
    <dxf>
      <font>
        <color rgb="FFB71C1C"/>
      </font>
      <fill>
        <patternFill patternType="solid">
          <fgColor indexed="64"/>
          <bgColor rgb="FFFFCDD2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b/>
        <i val="0"/>
        <color rgb="FF455A64"/>
      </font>
      <fill>
        <patternFill patternType="solid">
          <fgColor indexed="64"/>
          <bgColor rgb="FFECEFF1"/>
        </patternFill>
      </fill>
    </dxf>
    <dxf>
      <font>
        <b/>
        <i val="0"/>
        <color rgb="FFB71C1C"/>
      </font>
      <fill>
        <patternFill patternType="solid">
          <fgColor indexed="64"/>
          <bgColor rgb="FFFFCDD2"/>
        </patternFill>
      </fill>
    </dxf>
    <dxf>
      <font>
        <b/>
        <i val="0"/>
        <color rgb="FF827717"/>
      </font>
      <fill>
        <patternFill patternType="solid">
          <fgColor indexed="64"/>
          <bgColor rgb="FFFFF9C4"/>
        </patternFill>
      </fill>
    </dxf>
    <dxf>
      <font>
        <b/>
        <i val="0"/>
        <color rgb="FF1B5E20"/>
      </font>
      <fill>
        <patternFill patternType="solid">
          <fgColor indexed="64"/>
          <bgColor rgb="FFC8E6C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3"/>
      <rgbColor rgb="FF7F7F7F"/>
      <rgbColor rgb="FF9999FF"/>
      <rgbColor rgb="FF993366"/>
      <rgbColor rgb="FFFDEBD0"/>
      <rgbColor rgb="FFEDE7F6"/>
      <rgbColor rgb="FF4A148C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FF6600"/>
      <rgbColor rgb="FF595959"/>
      <rgbColor rgb="FF969696"/>
      <rgbColor rgb="FF1F3864"/>
      <rgbColor rgb="FF2E7D32"/>
      <rgbColor rgb="FF003300"/>
      <rgbColor rgb="FF333300"/>
      <rgbColor rgb="FFB45309"/>
      <rgbColor rgb="FF993366"/>
      <rgbColor rgb="FF1F4E7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0"/>
  <sheetViews>
    <sheetView showGridLines="0" tabSelected="1" zoomScaleNormal="100" workbookViewId="0"/>
  </sheetViews>
  <sheetFormatPr baseColWidth="10" defaultColWidth="8.7109375" defaultRowHeight="15" x14ac:dyDescent="0.25"/>
  <cols>
    <col min="1" max="1" width="3" customWidth="1"/>
    <col min="2" max="2" width="34" customWidth="1"/>
    <col min="3" max="3" width="95" customWidth="1"/>
  </cols>
  <sheetData>
    <row r="2" spans="2:3" x14ac:dyDescent="0.25">
      <c r="B2" s="8" t="s">
        <v>0</v>
      </c>
      <c r="C2" s="8"/>
    </row>
    <row r="3" spans="2:3" ht="33.75" customHeight="1" x14ac:dyDescent="0.4">
      <c r="B3" s="7" t="s">
        <v>1</v>
      </c>
      <c r="C3" s="7"/>
    </row>
    <row r="4" spans="2:3" x14ac:dyDescent="0.25">
      <c r="B4" s="6" t="s">
        <v>2</v>
      </c>
      <c r="C4" s="6"/>
    </row>
    <row r="6" spans="2:3" x14ac:dyDescent="0.25">
      <c r="B6" s="9" t="s">
        <v>3</v>
      </c>
      <c r="C6" s="10" t="s">
        <v>4</v>
      </c>
    </row>
    <row r="7" spans="2:3" x14ac:dyDescent="0.25">
      <c r="B7" s="9" t="s">
        <v>5</v>
      </c>
      <c r="C7" s="10" t="s">
        <v>6</v>
      </c>
    </row>
    <row r="8" spans="2:3" x14ac:dyDescent="0.25">
      <c r="B8" s="9" t="s">
        <v>7</v>
      </c>
      <c r="C8" s="10" t="s">
        <v>8</v>
      </c>
    </row>
    <row r="9" spans="2:3" x14ac:dyDescent="0.25">
      <c r="B9" s="9" t="s">
        <v>9</v>
      </c>
      <c r="C9" s="10" t="s">
        <v>10</v>
      </c>
    </row>
    <row r="10" spans="2:3" x14ac:dyDescent="0.25">
      <c r="B10" s="9" t="s">
        <v>11</v>
      </c>
      <c r="C10" s="10" t="s">
        <v>12</v>
      </c>
    </row>
    <row r="11" spans="2:3" x14ac:dyDescent="0.25">
      <c r="B11" s="9" t="s">
        <v>13</v>
      </c>
      <c r="C11" s="10" t="s">
        <v>14</v>
      </c>
    </row>
    <row r="12" spans="2:3" x14ac:dyDescent="0.25">
      <c r="B12" s="9" t="s">
        <v>15</v>
      </c>
      <c r="C12" s="10" t="s">
        <v>16</v>
      </c>
    </row>
    <row r="14" spans="2:3" x14ac:dyDescent="0.25">
      <c r="B14" s="11" t="s">
        <v>17</v>
      </c>
    </row>
    <row r="15" spans="2:3" x14ac:dyDescent="0.25">
      <c r="B15" s="12" t="s">
        <v>18</v>
      </c>
      <c r="C15" s="12" t="s">
        <v>19</v>
      </c>
    </row>
    <row r="16" spans="2:3" ht="27.75" customHeight="1" x14ac:dyDescent="0.25">
      <c r="B16" s="13" t="s">
        <v>20</v>
      </c>
      <c r="C16" s="14" t="s">
        <v>21</v>
      </c>
    </row>
    <row r="17" spans="2:3" ht="27.75" customHeight="1" x14ac:dyDescent="0.25">
      <c r="B17" s="13" t="s">
        <v>22</v>
      </c>
      <c r="C17" s="14" t="s">
        <v>23</v>
      </c>
    </row>
    <row r="18" spans="2:3" ht="27.75" customHeight="1" x14ac:dyDescent="0.25">
      <c r="B18" s="13" t="s">
        <v>24</v>
      </c>
      <c r="C18" s="14" t="s">
        <v>25</v>
      </c>
    </row>
    <row r="19" spans="2:3" ht="27.75" customHeight="1" x14ac:dyDescent="0.25">
      <c r="B19" s="13" t="s">
        <v>26</v>
      </c>
      <c r="C19" s="14" t="s">
        <v>27</v>
      </c>
    </row>
    <row r="20" spans="2:3" ht="27.75" customHeight="1" x14ac:dyDescent="0.25">
      <c r="B20" s="13" t="s">
        <v>28</v>
      </c>
      <c r="C20" s="14" t="s">
        <v>29</v>
      </c>
    </row>
    <row r="21" spans="2:3" ht="27.75" customHeight="1" x14ac:dyDescent="0.25">
      <c r="B21" s="13" t="s">
        <v>30</v>
      </c>
      <c r="C21" s="14" t="s">
        <v>31</v>
      </c>
    </row>
    <row r="23" spans="2:3" x14ac:dyDescent="0.25">
      <c r="B23" s="11" t="s">
        <v>32</v>
      </c>
    </row>
    <row r="24" spans="2:3" x14ac:dyDescent="0.25">
      <c r="B24" s="5" t="s">
        <v>33</v>
      </c>
      <c r="C24" s="5"/>
    </row>
    <row r="25" spans="2:3" x14ac:dyDescent="0.25">
      <c r="B25" s="5" t="s">
        <v>34</v>
      </c>
      <c r="C25" s="5"/>
    </row>
    <row r="26" spans="2:3" x14ac:dyDescent="0.25">
      <c r="B26" s="5" t="s">
        <v>35</v>
      </c>
      <c r="C26" s="5"/>
    </row>
    <row r="27" spans="2:3" x14ac:dyDescent="0.25">
      <c r="B27" s="5" t="s">
        <v>36</v>
      </c>
      <c r="C27" s="5"/>
    </row>
    <row r="28" spans="2:3" x14ac:dyDescent="0.25">
      <c r="B28" s="5" t="s">
        <v>37</v>
      </c>
      <c r="C28" s="5"/>
    </row>
    <row r="30" spans="2:3" x14ac:dyDescent="0.25">
      <c r="B30" s="4" t="s">
        <v>38</v>
      </c>
      <c r="C30" s="4"/>
    </row>
  </sheetData>
  <mergeCells count="9">
    <mergeCell ref="B26:C26"/>
    <mergeCell ref="B27:C27"/>
    <mergeCell ref="B28:C28"/>
    <mergeCell ref="B30:C30"/>
    <mergeCell ref="B2:C2"/>
    <mergeCell ref="B3:C3"/>
    <mergeCell ref="B4:C4"/>
    <mergeCell ref="B24:C24"/>
    <mergeCell ref="B25:C25"/>
  </mergeCells>
  <pageMargins left="0.75" right="0.75" top="1" bottom="1" header="0.5" footer="0.5"/>
  <pageSetup paperSize="9" orientation="portrait" horizontalDpi="300" verticalDpi="300"/>
  <headerFooter>
    <oddHeader>&amp;C&amp;K7f7f7fPierre R.</oddHeader>
    <oddFooter>&amp;L&amp;K7f7f7fCR-SGC-002 · Plantilla genérica referencial · Autoría: Pierre R.&amp;R&amp;K7f7f7fPág.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9"/>
  <sheetViews>
    <sheetView showGridLines="0" zoomScaleNormal="100" workbookViewId="0"/>
  </sheetViews>
  <sheetFormatPr baseColWidth="10" defaultColWidth="8.7109375" defaultRowHeight="15" x14ac:dyDescent="0.25"/>
  <cols>
    <col min="1" max="1" width="4" customWidth="1"/>
    <col min="2" max="2" width="5" customWidth="1"/>
    <col min="3" max="3" width="42" customWidth="1"/>
    <col min="4" max="4" width="22" customWidth="1"/>
    <col min="5" max="6" width="13" customWidth="1"/>
    <col min="7" max="7" width="11" customWidth="1"/>
    <col min="8" max="8" width="16" customWidth="1"/>
    <col min="9" max="9" width="30" customWidth="1"/>
  </cols>
  <sheetData>
    <row r="2" spans="1:9" ht="30" customHeight="1" x14ac:dyDescent="0.25">
      <c r="A2" s="3" t="s">
        <v>39</v>
      </c>
      <c r="B2" s="3"/>
      <c r="C2" s="3"/>
      <c r="D2" s="3"/>
      <c r="E2" s="3"/>
      <c r="F2" s="3"/>
      <c r="G2" s="3"/>
      <c r="H2" s="3"/>
      <c r="I2" s="3"/>
    </row>
    <row r="4" spans="1:9" ht="24" x14ac:dyDescent="0.25">
      <c r="B4" s="15" t="s">
        <v>40</v>
      </c>
      <c r="C4" s="15" t="s">
        <v>41</v>
      </c>
      <c r="D4" s="15" t="s">
        <v>42</v>
      </c>
      <c r="E4" s="15" t="s">
        <v>43</v>
      </c>
      <c r="F4" s="15" t="s">
        <v>44</v>
      </c>
      <c r="G4" s="15" t="s">
        <v>45</v>
      </c>
      <c r="H4" s="15" t="s">
        <v>46</v>
      </c>
      <c r="I4" s="15" t="s">
        <v>47</v>
      </c>
    </row>
    <row r="5" spans="1:9" x14ac:dyDescent="0.25">
      <c r="B5" s="16">
        <v>1</v>
      </c>
      <c r="C5" s="16" t="s">
        <v>48</v>
      </c>
      <c r="D5" s="16" t="s">
        <v>49</v>
      </c>
      <c r="E5" s="16" t="s">
        <v>50</v>
      </c>
      <c r="F5" s="16" t="s">
        <v>51</v>
      </c>
      <c r="G5" s="16">
        <f>IF(AND(E5&lt;&gt;"",F5&lt;&gt;""),DATEVALUE(F5)-DATEVALUE(E5)+1,"")</f>
        <v>10</v>
      </c>
      <c r="H5" s="16" t="s">
        <v>52</v>
      </c>
      <c r="I5" s="16" t="s">
        <v>53</v>
      </c>
    </row>
    <row r="6" spans="1:9" ht="24" x14ac:dyDescent="0.25">
      <c r="B6" s="16">
        <v>2</v>
      </c>
      <c r="C6" s="16" t="s">
        <v>54</v>
      </c>
      <c r="D6" s="16" t="s">
        <v>55</v>
      </c>
      <c r="E6" s="16" t="s">
        <v>56</v>
      </c>
      <c r="F6" s="16" t="s">
        <v>57</v>
      </c>
      <c r="G6" s="16">
        <f>IF(AND(E6&lt;&gt;"",F6&lt;&gt;""),DATEVALUE(F6)-DATEVALUE(E6)+1,"")</f>
        <v>5</v>
      </c>
      <c r="H6" s="16" t="s">
        <v>52</v>
      </c>
      <c r="I6" s="16" t="s">
        <v>53</v>
      </c>
    </row>
    <row r="7" spans="1:9" x14ac:dyDescent="0.25">
      <c r="B7" s="17">
        <v>3</v>
      </c>
      <c r="C7" s="17" t="s">
        <v>58</v>
      </c>
      <c r="D7" s="17" t="s">
        <v>59</v>
      </c>
      <c r="E7" s="17" t="s">
        <v>60</v>
      </c>
      <c r="F7" s="17" t="s">
        <v>61</v>
      </c>
      <c r="G7" s="17">
        <f>IF(AND(E7&lt;&gt;"",F7&lt;&gt;""),DATEVALUE(F7)-DATEVALUE(E7)+1,"")</f>
        <v>16</v>
      </c>
      <c r="H7" s="17" t="s">
        <v>52</v>
      </c>
      <c r="I7" s="17" t="s">
        <v>62</v>
      </c>
    </row>
    <row r="9" spans="1:9" x14ac:dyDescent="0.25">
      <c r="B9" s="18" t="s">
        <v>63</v>
      </c>
    </row>
  </sheetData>
  <mergeCells count="1">
    <mergeCell ref="A2:I2"/>
  </mergeCells>
  <dataValidations count="1">
    <dataValidation type="list" allowBlank="1" sqref="H5:H30" xr:uid="{00000000-0002-0000-0100-000000000000}">
      <formula1>"Pendiente,En curso,Concluida,Reprogramada,Cancelada"</formula1>
      <formula2>0</formula2>
    </dataValidation>
  </dataValidations>
  <pageMargins left="0.75" right="0.75" top="1" bottom="1" header="0.5" footer="0.5"/>
  <pageSetup paperSize="9" orientation="portrait" horizontalDpi="300" verticalDpi="300"/>
  <headerFooter>
    <oddHeader>&amp;C&amp;K7f7f7fPierre R.</oddHeader>
    <oddFooter>&amp;L&amp;K7f7f7fCR-SGC-002 · Plantilla genérica referencial · Autoría: Pierre R.&amp;R&amp;K7f7f7fPág.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W13"/>
  <sheetViews>
    <sheetView showGridLines="0" zoomScaleNormal="100" workbookViewId="0">
      <selection activeCell="G6" sqref="G6"/>
    </sheetView>
  </sheetViews>
  <sheetFormatPr baseColWidth="10" defaultColWidth="8.7109375" defaultRowHeight="15" x14ac:dyDescent="0.25"/>
  <cols>
    <col min="1" max="1" width="3" customWidth="1"/>
    <col min="2" max="2" width="4" customWidth="1"/>
    <col min="3" max="3" width="38" customWidth="1"/>
    <col min="4" max="4" width="18" customWidth="1"/>
    <col min="5" max="7" width="9" customWidth="1"/>
    <col min="8" max="23" width="4.42578125" customWidth="1"/>
  </cols>
  <sheetData>
    <row r="2" spans="1:23" ht="30" customHeight="1" x14ac:dyDescent="0.25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 spans="1:23" ht="24" x14ac:dyDescent="0.25">
      <c r="B4" s="19" t="s">
        <v>40</v>
      </c>
      <c r="C4" s="19" t="s">
        <v>65</v>
      </c>
      <c r="D4" s="19" t="s">
        <v>42</v>
      </c>
      <c r="E4" s="19" t="s">
        <v>66</v>
      </c>
      <c r="F4" s="19" t="s">
        <v>67</v>
      </c>
      <c r="G4" s="19" t="s">
        <v>68</v>
      </c>
      <c r="H4" s="20" t="s">
        <v>69</v>
      </c>
      <c r="I4" s="20" t="s">
        <v>70</v>
      </c>
      <c r="J4" s="20" t="s">
        <v>71</v>
      </c>
      <c r="K4" s="20" t="s">
        <v>72</v>
      </c>
      <c r="L4" s="20" t="s">
        <v>73</v>
      </c>
      <c r="M4" s="20" t="s">
        <v>74</v>
      </c>
      <c r="N4" s="20" t="s">
        <v>75</v>
      </c>
      <c r="O4" s="20" t="s">
        <v>76</v>
      </c>
      <c r="P4" s="20" t="s">
        <v>77</v>
      </c>
      <c r="Q4" s="20" t="s">
        <v>78</v>
      </c>
      <c r="R4" s="20" t="s">
        <v>79</v>
      </c>
      <c r="S4" s="20" t="s">
        <v>80</v>
      </c>
      <c r="T4" s="20" t="s">
        <v>81</v>
      </c>
      <c r="U4" s="20" t="s">
        <v>82</v>
      </c>
      <c r="V4" s="20" t="s">
        <v>83</v>
      </c>
      <c r="W4" s="20" t="s">
        <v>84</v>
      </c>
    </row>
    <row r="5" spans="1:23" x14ac:dyDescent="0.25">
      <c r="B5" s="10">
        <v>1</v>
      </c>
      <c r="C5" s="10" t="s">
        <v>85</v>
      </c>
      <c r="D5" s="10" t="s">
        <v>86</v>
      </c>
      <c r="E5" s="10">
        <v>1</v>
      </c>
      <c r="F5" s="10">
        <v>2</v>
      </c>
      <c r="G5" s="21">
        <v>1</v>
      </c>
      <c r="H5" s="22" t="str">
        <f t="shared" ref="H5:H10" si="0">IF(AND(1&gt;=$E5,1&lt;=$F5),"■","")</f>
        <v>■</v>
      </c>
      <c r="I5" s="22" t="str">
        <f t="shared" ref="I5:I10" si="1">IF(AND(2&gt;=$E5,2&lt;=$F5),"■","")</f>
        <v>■</v>
      </c>
      <c r="J5" s="22" t="str">
        <f t="shared" ref="J5:J10" si="2">IF(AND(3&gt;=$E5,3&lt;=$F5),"■","")</f>
        <v/>
      </c>
      <c r="K5" s="22" t="str">
        <f t="shared" ref="K5:K10" si="3">IF(AND(4&gt;=$E5,4&lt;=$F5),"■","")</f>
        <v/>
      </c>
      <c r="L5" s="22" t="str">
        <f t="shared" ref="L5:L10" si="4">IF(AND(5&gt;=$E5,5&lt;=$F5),"■","")</f>
        <v/>
      </c>
      <c r="M5" s="22" t="str">
        <f t="shared" ref="M5:M10" si="5">IF(AND(6&gt;=$E5,6&lt;=$F5),"■","")</f>
        <v/>
      </c>
      <c r="N5" s="22" t="str">
        <f t="shared" ref="N5:N10" si="6">IF(AND(7&gt;=$E5,7&lt;=$F5),"■","")</f>
        <v/>
      </c>
      <c r="O5" s="22" t="str">
        <f t="shared" ref="O5:O10" si="7">IF(AND(8&gt;=$E5,8&lt;=$F5),"■","")</f>
        <v/>
      </c>
      <c r="P5" s="22" t="str">
        <f t="shared" ref="P5:P10" si="8">IF(AND(9&gt;=$E5,9&lt;=$F5),"■","")</f>
        <v/>
      </c>
      <c r="Q5" s="22" t="str">
        <f t="shared" ref="Q5:Q10" si="9">IF(AND(10&gt;=$E5,10&lt;=$F5),"■","")</f>
        <v/>
      </c>
      <c r="R5" s="22" t="str">
        <f t="shared" ref="R5:R10" si="10">IF(AND(11&gt;=$E5,11&lt;=$F5),"■","")</f>
        <v/>
      </c>
      <c r="S5" s="22" t="str">
        <f t="shared" ref="S5:S10" si="11">IF(AND(12&gt;=$E5,12&lt;=$F5),"■","")</f>
        <v/>
      </c>
      <c r="T5" s="22" t="str">
        <f t="shared" ref="T5:T10" si="12">IF(AND(13&gt;=$E5,13&lt;=$F5),"■","")</f>
        <v/>
      </c>
      <c r="U5" s="22" t="str">
        <f t="shared" ref="U5:U10" si="13">IF(AND(14&gt;=$E5,14&lt;=$F5),"■","")</f>
        <v/>
      </c>
      <c r="V5" s="22" t="str">
        <f t="shared" ref="V5:V10" si="14">IF(AND(15&gt;=$E5,15&lt;=$F5),"■","")</f>
        <v/>
      </c>
      <c r="W5" s="22" t="str">
        <f t="shared" ref="W5:W10" si="15">IF(AND(16&gt;=$E5,16&lt;=$F5),"■","")</f>
        <v/>
      </c>
    </row>
    <row r="6" spans="1:23" ht="24" x14ac:dyDescent="0.25">
      <c r="B6" s="10">
        <v>2</v>
      </c>
      <c r="C6" s="10" t="s">
        <v>87</v>
      </c>
      <c r="D6" s="10" t="s">
        <v>88</v>
      </c>
      <c r="E6" s="10">
        <v>2</v>
      </c>
      <c r="F6" s="10">
        <v>5</v>
      </c>
      <c r="G6" s="21">
        <v>0.6</v>
      </c>
      <c r="H6" s="22" t="str">
        <f t="shared" si="0"/>
        <v/>
      </c>
      <c r="I6" s="22" t="str">
        <f t="shared" si="1"/>
        <v>■</v>
      </c>
      <c r="J6" s="22" t="str">
        <f t="shared" si="2"/>
        <v>■</v>
      </c>
      <c r="K6" s="22" t="str">
        <f t="shared" si="3"/>
        <v>■</v>
      </c>
      <c r="L6" s="22" t="str">
        <f t="shared" si="4"/>
        <v>■</v>
      </c>
      <c r="M6" s="22" t="str">
        <f t="shared" si="5"/>
        <v/>
      </c>
      <c r="N6" s="22" t="str">
        <f t="shared" si="6"/>
        <v/>
      </c>
      <c r="O6" s="22" t="str">
        <f t="shared" si="7"/>
        <v/>
      </c>
      <c r="P6" s="22" t="str">
        <f t="shared" si="8"/>
        <v/>
      </c>
      <c r="Q6" s="22" t="str">
        <f t="shared" si="9"/>
        <v/>
      </c>
      <c r="R6" s="22" t="str">
        <f t="shared" si="10"/>
        <v/>
      </c>
      <c r="S6" s="22" t="str">
        <f t="shared" si="11"/>
        <v/>
      </c>
      <c r="T6" s="22" t="str">
        <f t="shared" si="12"/>
        <v/>
      </c>
      <c r="U6" s="22" t="str">
        <f t="shared" si="13"/>
        <v/>
      </c>
      <c r="V6" s="22" t="str">
        <f t="shared" si="14"/>
        <v/>
      </c>
      <c r="W6" s="22" t="str">
        <f t="shared" si="15"/>
        <v/>
      </c>
    </row>
    <row r="7" spans="1:23" x14ac:dyDescent="0.25">
      <c r="B7" s="10">
        <v>3</v>
      </c>
      <c r="C7" s="10" t="s">
        <v>89</v>
      </c>
      <c r="D7" s="10" t="s">
        <v>90</v>
      </c>
      <c r="E7" s="10">
        <v>5</v>
      </c>
      <c r="F7" s="10">
        <v>7</v>
      </c>
      <c r="G7" s="21">
        <v>0.25</v>
      </c>
      <c r="H7" s="22" t="str">
        <f t="shared" si="0"/>
        <v/>
      </c>
      <c r="I7" s="22" t="str">
        <f t="shared" si="1"/>
        <v/>
      </c>
      <c r="J7" s="22" t="str">
        <f t="shared" si="2"/>
        <v/>
      </c>
      <c r="K7" s="22" t="str">
        <f t="shared" si="3"/>
        <v/>
      </c>
      <c r="L7" s="22" t="str">
        <f t="shared" si="4"/>
        <v>■</v>
      </c>
      <c r="M7" s="22" t="str">
        <f t="shared" si="5"/>
        <v>■</v>
      </c>
      <c r="N7" s="22" t="str">
        <f t="shared" si="6"/>
        <v>■</v>
      </c>
      <c r="O7" s="22" t="str">
        <f t="shared" si="7"/>
        <v/>
      </c>
      <c r="P7" s="22" t="str">
        <f t="shared" si="8"/>
        <v/>
      </c>
      <c r="Q7" s="22" t="str">
        <f t="shared" si="9"/>
        <v/>
      </c>
      <c r="R7" s="22" t="str">
        <f t="shared" si="10"/>
        <v/>
      </c>
      <c r="S7" s="22" t="str">
        <f t="shared" si="11"/>
        <v/>
      </c>
      <c r="T7" s="22" t="str">
        <f t="shared" si="12"/>
        <v/>
      </c>
      <c r="U7" s="22" t="str">
        <f t="shared" si="13"/>
        <v/>
      </c>
      <c r="V7" s="22" t="str">
        <f t="shared" si="14"/>
        <v/>
      </c>
      <c r="W7" s="22" t="str">
        <f t="shared" si="15"/>
        <v/>
      </c>
    </row>
    <row r="8" spans="1:23" x14ac:dyDescent="0.25">
      <c r="B8" s="10">
        <v>4</v>
      </c>
      <c r="C8" s="10" t="s">
        <v>91</v>
      </c>
      <c r="D8" s="10" t="s">
        <v>86</v>
      </c>
      <c r="E8" s="10">
        <v>7</v>
      </c>
      <c r="F8" s="10">
        <v>10</v>
      </c>
      <c r="G8" s="21">
        <v>0</v>
      </c>
      <c r="H8" s="22" t="str">
        <f t="shared" si="0"/>
        <v/>
      </c>
      <c r="I8" s="22" t="str">
        <f t="shared" si="1"/>
        <v/>
      </c>
      <c r="J8" s="22" t="str">
        <f t="shared" si="2"/>
        <v/>
      </c>
      <c r="K8" s="22" t="str">
        <f t="shared" si="3"/>
        <v/>
      </c>
      <c r="L8" s="22" t="str">
        <f t="shared" si="4"/>
        <v/>
      </c>
      <c r="M8" s="22" t="str">
        <f t="shared" si="5"/>
        <v/>
      </c>
      <c r="N8" s="22" t="str">
        <f t="shared" si="6"/>
        <v>■</v>
      </c>
      <c r="O8" s="22" t="str">
        <f t="shared" si="7"/>
        <v>■</v>
      </c>
      <c r="P8" s="22" t="str">
        <f t="shared" si="8"/>
        <v>■</v>
      </c>
      <c r="Q8" s="22" t="str">
        <f t="shared" si="9"/>
        <v>■</v>
      </c>
      <c r="R8" s="22" t="str">
        <f t="shared" si="10"/>
        <v/>
      </c>
      <c r="S8" s="22" t="str">
        <f t="shared" si="11"/>
        <v/>
      </c>
      <c r="T8" s="22" t="str">
        <f t="shared" si="12"/>
        <v/>
      </c>
      <c r="U8" s="22" t="str">
        <f t="shared" si="13"/>
        <v/>
      </c>
      <c r="V8" s="22" t="str">
        <f t="shared" si="14"/>
        <v/>
      </c>
      <c r="W8" s="22" t="str">
        <f t="shared" si="15"/>
        <v/>
      </c>
    </row>
    <row r="9" spans="1:23" x14ac:dyDescent="0.25">
      <c r="B9" s="10">
        <v>5</v>
      </c>
      <c r="C9" s="10" t="s">
        <v>92</v>
      </c>
      <c r="D9" s="10" t="s">
        <v>93</v>
      </c>
      <c r="E9" s="10">
        <v>11</v>
      </c>
      <c r="F9" s="10">
        <v>13</v>
      </c>
      <c r="G9" s="21">
        <v>0</v>
      </c>
      <c r="H9" s="22" t="str">
        <f t="shared" si="0"/>
        <v/>
      </c>
      <c r="I9" s="22" t="str">
        <f t="shared" si="1"/>
        <v/>
      </c>
      <c r="J9" s="22" t="str">
        <f t="shared" si="2"/>
        <v/>
      </c>
      <c r="K9" s="22" t="str">
        <f t="shared" si="3"/>
        <v/>
      </c>
      <c r="L9" s="22" t="str">
        <f t="shared" si="4"/>
        <v/>
      </c>
      <c r="M9" s="22" t="str">
        <f t="shared" si="5"/>
        <v/>
      </c>
      <c r="N9" s="22" t="str">
        <f t="shared" si="6"/>
        <v/>
      </c>
      <c r="O9" s="22" t="str">
        <f t="shared" si="7"/>
        <v/>
      </c>
      <c r="P9" s="22" t="str">
        <f t="shared" si="8"/>
        <v/>
      </c>
      <c r="Q9" s="22" t="str">
        <f t="shared" si="9"/>
        <v/>
      </c>
      <c r="R9" s="22" t="str">
        <f t="shared" si="10"/>
        <v>■</v>
      </c>
      <c r="S9" s="22" t="str">
        <f t="shared" si="11"/>
        <v>■</v>
      </c>
      <c r="T9" s="22" t="str">
        <f t="shared" si="12"/>
        <v>■</v>
      </c>
      <c r="U9" s="22" t="str">
        <f t="shared" si="13"/>
        <v/>
      </c>
      <c r="V9" s="22" t="str">
        <f t="shared" si="14"/>
        <v/>
      </c>
      <c r="W9" s="22" t="str">
        <f t="shared" si="15"/>
        <v/>
      </c>
    </row>
    <row r="10" spans="1:23" x14ac:dyDescent="0.25">
      <c r="B10" s="10">
        <v>6</v>
      </c>
      <c r="C10" s="10" t="s">
        <v>94</v>
      </c>
      <c r="D10" s="10" t="s">
        <v>59</v>
      </c>
      <c r="E10" s="10">
        <v>13</v>
      </c>
      <c r="F10" s="10">
        <v>16</v>
      </c>
      <c r="G10" s="21">
        <v>0</v>
      </c>
      <c r="H10" s="22" t="str">
        <f t="shared" si="0"/>
        <v/>
      </c>
      <c r="I10" s="22" t="str">
        <f t="shared" si="1"/>
        <v/>
      </c>
      <c r="J10" s="22" t="str">
        <f t="shared" si="2"/>
        <v/>
      </c>
      <c r="K10" s="22" t="str">
        <f t="shared" si="3"/>
        <v/>
      </c>
      <c r="L10" s="22" t="str">
        <f t="shared" si="4"/>
        <v/>
      </c>
      <c r="M10" s="22" t="str">
        <f t="shared" si="5"/>
        <v/>
      </c>
      <c r="N10" s="22" t="str">
        <f t="shared" si="6"/>
        <v/>
      </c>
      <c r="O10" s="22" t="str">
        <f t="shared" si="7"/>
        <v/>
      </c>
      <c r="P10" s="22" t="str">
        <f t="shared" si="8"/>
        <v/>
      </c>
      <c r="Q10" s="22" t="str">
        <f t="shared" si="9"/>
        <v/>
      </c>
      <c r="R10" s="22" t="str">
        <f t="shared" si="10"/>
        <v/>
      </c>
      <c r="S10" s="22" t="str">
        <f t="shared" si="11"/>
        <v/>
      </c>
      <c r="T10" s="22" t="str">
        <f t="shared" si="12"/>
        <v>■</v>
      </c>
      <c r="U10" s="22" t="str">
        <f t="shared" si="13"/>
        <v>■</v>
      </c>
      <c r="V10" s="22" t="str">
        <f t="shared" si="14"/>
        <v>■</v>
      </c>
      <c r="W10" s="22" t="str">
        <f t="shared" si="15"/>
        <v>■</v>
      </c>
    </row>
    <row r="12" spans="1:23" x14ac:dyDescent="0.25">
      <c r="C12" s="23" t="s">
        <v>95</v>
      </c>
      <c r="G12" s="24">
        <f>IFERROR(AVERAGE(G5:G10),"")</f>
        <v>0.30833333333333335</v>
      </c>
    </row>
    <row r="13" spans="1:23" x14ac:dyDescent="0.25">
      <c r="C13" s="25" t="s">
        <v>96</v>
      </c>
    </row>
  </sheetData>
  <mergeCells count="1">
    <mergeCell ref="A2:W2"/>
  </mergeCells>
  <pageMargins left="0.75" right="0.75" top="1" bottom="1" header="0.5" footer="0.5"/>
  <pageSetup paperSize="9" orientation="portrait" horizontalDpi="300" verticalDpi="300"/>
  <headerFooter>
    <oddHeader>&amp;C&amp;K7f7f7fPierre R.</oddHeader>
    <oddFooter>&amp;L&amp;K7f7f7fCR-SGC-002 · Plantilla genérica referencial · Autoría: Pierre R.&amp;R&amp;K7f7f7fPág.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V24"/>
  <sheetViews>
    <sheetView showGridLines="0" topLeftCell="B1" zoomScaleNormal="100" workbookViewId="0">
      <selection activeCell="F6" sqref="F6"/>
    </sheetView>
  </sheetViews>
  <sheetFormatPr baseColWidth="10" defaultColWidth="8.7109375" defaultRowHeight="15" x14ac:dyDescent="0.25"/>
  <cols>
    <col min="1" max="1" width="3" customWidth="1"/>
    <col min="2" max="2" width="37.5703125" bestFit="1" customWidth="1"/>
    <col min="3" max="3" width="10.42578125" bestFit="1" customWidth="1"/>
    <col min="4" max="4" width="36" customWidth="1"/>
    <col min="5" max="5" width="16" customWidth="1"/>
    <col min="6" max="7" width="12" customWidth="1"/>
    <col min="8" max="8" width="43.85546875" customWidth="1"/>
    <col min="9" max="11" width="6.42578125" customWidth="1"/>
    <col min="12" max="12" width="12.7109375" customWidth="1"/>
    <col min="13" max="13" width="6.42578125" customWidth="1"/>
    <col min="14" max="14" width="13.42578125" customWidth="1"/>
    <col min="15" max="15" width="32.42578125" customWidth="1"/>
    <col min="16" max="22" width="6.42578125" customWidth="1"/>
  </cols>
  <sheetData>
    <row r="2" spans="1:22" ht="30" customHeight="1" x14ac:dyDescent="0.25">
      <c r="A2" s="1" t="s">
        <v>97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spans="1:22" ht="48" x14ac:dyDescent="0.25">
      <c r="B4" s="26" t="s">
        <v>40</v>
      </c>
      <c r="C4" s="26" t="s">
        <v>98</v>
      </c>
      <c r="D4" s="26" t="s">
        <v>65</v>
      </c>
      <c r="E4" s="26" t="s">
        <v>99</v>
      </c>
      <c r="F4" s="26" t="s">
        <v>100</v>
      </c>
      <c r="G4" s="26" t="s">
        <v>101</v>
      </c>
      <c r="H4" s="34" t="s">
        <v>133</v>
      </c>
      <c r="I4" s="26" t="s">
        <v>102</v>
      </c>
      <c r="J4" s="26" t="s">
        <v>103</v>
      </c>
      <c r="K4" s="26" t="s">
        <v>104</v>
      </c>
      <c r="L4" s="26" t="s">
        <v>68</v>
      </c>
      <c r="M4" s="26" t="s">
        <v>105</v>
      </c>
      <c r="N4" s="26" t="s">
        <v>46</v>
      </c>
      <c r="O4" s="26" t="s">
        <v>106</v>
      </c>
    </row>
    <row r="5" spans="1:22" ht="24" x14ac:dyDescent="0.25">
      <c r="B5" s="27">
        <v>1</v>
      </c>
      <c r="C5" s="27" t="s">
        <v>107</v>
      </c>
      <c r="D5" s="28" t="s">
        <v>108</v>
      </c>
      <c r="E5" s="28" t="s">
        <v>109</v>
      </c>
      <c r="F5" s="48">
        <v>46204</v>
      </c>
      <c r="G5" s="48">
        <v>46208</v>
      </c>
      <c r="H5" s="46">
        <f>IF(OR(F5="",G5=""),"",G5-F5+1)</f>
        <v>5</v>
      </c>
      <c r="I5" s="27" t="s">
        <v>110</v>
      </c>
      <c r="J5" s="27" t="s">
        <v>111</v>
      </c>
      <c r="K5" s="29">
        <v>0.05</v>
      </c>
      <c r="L5" s="29">
        <v>1</v>
      </c>
      <c r="M5" s="30">
        <f>K5*L5</f>
        <v>0.05</v>
      </c>
      <c r="N5" s="27" t="str">
        <f ca="1">IF(OR(F5="",L5=""),"",IF(L5&gt;=1,"Concluida",IF(AND(L5=0,TODAY()&lt;F5),"Pendiente",IF(TODAY()&gt;G5,"Vencida","En curso"))))</f>
        <v>Concluida</v>
      </c>
      <c r="O5" s="28" t="s">
        <v>110</v>
      </c>
    </row>
    <row r="6" spans="1:22" ht="24" x14ac:dyDescent="0.25">
      <c r="B6" s="27">
        <v>2</v>
      </c>
      <c r="C6" s="27" t="s">
        <v>107</v>
      </c>
      <c r="D6" s="28" t="s">
        <v>112</v>
      </c>
      <c r="E6" s="28" t="s">
        <v>113</v>
      </c>
      <c r="F6" s="48">
        <f>IFERROR(INDEX($G$5:$G$10,MATCH(VALUE(I6),$B$5:$B$10,0))+1,F6)</f>
        <v>46209</v>
      </c>
      <c r="G6" s="48">
        <f>F6+9</f>
        <v>46218</v>
      </c>
      <c r="H6" s="46">
        <f>IF(OR(F6="",G6=""),"",G6-F6+1)</f>
        <v>10</v>
      </c>
      <c r="I6" s="27" t="s">
        <v>114</v>
      </c>
      <c r="J6" s="27" t="s">
        <v>115</v>
      </c>
      <c r="K6" s="29">
        <v>0.1</v>
      </c>
      <c r="L6" s="29">
        <v>1</v>
      </c>
      <c r="M6" s="30">
        <f>K6*L6</f>
        <v>0.1</v>
      </c>
      <c r="N6" s="27" t="str">
        <f ca="1">IF(OR(F6="",L6=""),"",IF(L6&gt;=1,"Concluida",IF(AND(L6=0,TODAY()&lt;F6),"Pendiente",IF(TODAY()&gt;G6,"Vencida","En curso"))))</f>
        <v>Concluida</v>
      </c>
      <c r="O6" s="28" t="s">
        <v>116</v>
      </c>
    </row>
    <row r="7" spans="1:22" ht="24" x14ac:dyDescent="0.25">
      <c r="B7" s="27">
        <v>3</v>
      </c>
      <c r="C7" s="27" t="s">
        <v>107</v>
      </c>
      <c r="D7" s="28" t="s">
        <v>117</v>
      </c>
      <c r="E7" s="28" t="s">
        <v>86</v>
      </c>
      <c r="F7" s="48">
        <f>IFERROR(INDEX($G$5:$G$10,MATCH(VALUE(I7),$B$5:$B$10,0))+1,F7)</f>
        <v>46219</v>
      </c>
      <c r="G7" s="48">
        <f>F7+9</f>
        <v>46228</v>
      </c>
      <c r="H7" s="46">
        <f>IF(OR(F7="",G7=""),"",G7-F7+1)</f>
        <v>10</v>
      </c>
      <c r="I7" s="27" t="s">
        <v>118</v>
      </c>
      <c r="J7" s="27" t="s">
        <v>115</v>
      </c>
      <c r="K7" s="29">
        <v>0.1</v>
      </c>
      <c r="L7" s="29">
        <v>0.5</v>
      </c>
      <c r="M7" s="30">
        <f>K7*L7</f>
        <v>0.05</v>
      </c>
      <c r="N7" s="27" t="str">
        <f ca="1">IF(OR(F7="",L7=""),"",IF(L7&gt;=1,"Concluida",IF(AND(L7=0,TODAY()&lt;F7),"Pendiente",IF(TODAY()&gt;G7,"Vencida","En curso"))))</f>
        <v>En curso</v>
      </c>
      <c r="O7" s="28" t="s">
        <v>119</v>
      </c>
    </row>
    <row r="8" spans="1:22" ht="24" x14ac:dyDescent="0.25">
      <c r="B8" s="27">
        <v>4</v>
      </c>
      <c r="C8" s="27" t="s">
        <v>120</v>
      </c>
      <c r="D8" s="28" t="s">
        <v>121</v>
      </c>
      <c r="E8" s="28" t="s">
        <v>88</v>
      </c>
      <c r="F8" s="48">
        <f>IFERROR(INDEX($G$5:$G$10,MATCH(VALUE(I8),$B$5:$B$10,0))+1,F8)</f>
        <v>46229</v>
      </c>
      <c r="G8" s="48">
        <f>F8+35</f>
        <v>46264</v>
      </c>
      <c r="H8" s="46">
        <f>IF(OR(F8="",G8=""),"",G8-F8+1)</f>
        <v>36</v>
      </c>
      <c r="I8" s="27" t="s">
        <v>122</v>
      </c>
      <c r="J8" s="27" t="s">
        <v>115</v>
      </c>
      <c r="K8" s="29">
        <v>0.4</v>
      </c>
      <c r="L8" s="29">
        <v>0</v>
      </c>
      <c r="M8" s="30">
        <f>K8*L8</f>
        <v>0</v>
      </c>
      <c r="N8" s="27" t="str">
        <f ca="1">IF(OR(F8="",L8=""),"",IF(L8&gt;=1,"Concluida",IF(AND(L8=0,TODAY()&lt;F8),"Pendiente",IF(TODAY()&gt;G8,"Vencida","En curso"))))</f>
        <v>Pendiente</v>
      </c>
      <c r="O8" s="28" t="s">
        <v>123</v>
      </c>
    </row>
    <row r="9" spans="1:22" x14ac:dyDescent="0.25">
      <c r="B9" s="27">
        <v>5</v>
      </c>
      <c r="C9" s="27" t="s">
        <v>124</v>
      </c>
      <c r="D9" s="28" t="s">
        <v>125</v>
      </c>
      <c r="E9" s="28" t="s">
        <v>93</v>
      </c>
      <c r="F9" s="48">
        <f>IFERROR(INDEX($G$5:$G$10,MATCH(VALUE(I9),$B$5:$B$10,0))+1,F9)</f>
        <v>46265</v>
      </c>
      <c r="G9" s="48">
        <f>F9+14</f>
        <v>46279</v>
      </c>
      <c r="H9" s="46">
        <f>IF(OR(F9="",G9=""),"",G9-F9+1)</f>
        <v>15</v>
      </c>
      <c r="I9" s="27" t="s">
        <v>126</v>
      </c>
      <c r="J9" s="27" t="s">
        <v>111</v>
      </c>
      <c r="K9" s="29">
        <v>0.2</v>
      </c>
      <c r="L9" s="29">
        <v>0</v>
      </c>
      <c r="M9" s="30">
        <f>K9*L9</f>
        <v>0</v>
      </c>
      <c r="N9" s="27" t="str">
        <f ca="1">IF(OR(F9="",L9=""),"",IF(L9&gt;=1,"Concluida",IF(AND(L9=0,TODAY()&lt;F9),"Pendiente",IF(TODAY()&gt;G9,"Vencida","En curso"))))</f>
        <v>Pendiente</v>
      </c>
      <c r="O9" s="28" t="s">
        <v>127</v>
      </c>
    </row>
    <row r="10" spans="1:22" ht="24" x14ac:dyDescent="0.25">
      <c r="B10" s="27">
        <v>6</v>
      </c>
      <c r="C10" s="27" t="s">
        <v>128</v>
      </c>
      <c r="D10" s="28" t="s">
        <v>129</v>
      </c>
      <c r="E10" s="28" t="s">
        <v>130</v>
      </c>
      <c r="F10" s="48">
        <f>IFERROR(INDEX($G$5:$G$10,MATCH(VALUE(I10),$B$5:$B$10,0))+1,F10)</f>
        <v>46280</v>
      </c>
      <c r="G10" s="48">
        <f>F10+14</f>
        <v>46294</v>
      </c>
      <c r="H10" s="46">
        <f>IF(OR(F10="",G10=""),"",G10-F10+1)</f>
        <v>15</v>
      </c>
      <c r="I10" s="27" t="s">
        <v>131</v>
      </c>
      <c r="J10" s="27" t="s">
        <v>111</v>
      </c>
      <c r="K10" s="29">
        <v>0.15</v>
      </c>
      <c r="L10" s="29">
        <v>0</v>
      </c>
      <c r="M10" s="30">
        <f>K10*L10</f>
        <v>0</v>
      </c>
      <c r="N10" s="27" t="str">
        <f ca="1">IF(OR(F10="",L10=""),"",IF(L10&gt;=1,"Concluida",IF(AND(L10=0,TODAY()&lt;F10),"Pendiente",IF(TODAY()&gt;G10,"Vencida","En curso"))))</f>
        <v>Pendiente</v>
      </c>
      <c r="O10" s="28" t="s">
        <v>110</v>
      </c>
    </row>
    <row r="11" spans="1:22" x14ac:dyDescent="0.25">
      <c r="D11" s="31" t="s">
        <v>132</v>
      </c>
      <c r="H11" s="47">
        <f>MAX(G5:G10)-MIN(F5:F10)+1</f>
        <v>91</v>
      </c>
      <c r="K11" s="32">
        <f>SUM(K5:K10)</f>
        <v>1</v>
      </c>
      <c r="M11" s="33">
        <f>SUM(M5:M10)</f>
        <v>0.2</v>
      </c>
    </row>
    <row r="12" spans="1:22" x14ac:dyDescent="0.25">
      <c r="D12" s="25" t="s">
        <v>147</v>
      </c>
    </row>
    <row r="14" spans="1:22" x14ac:dyDescent="0.25">
      <c r="B14" s="36" t="s">
        <v>134</v>
      </c>
      <c r="C14" s="36"/>
      <c r="H14" s="35" t="s">
        <v>145</v>
      </c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</row>
    <row r="15" spans="1:22" x14ac:dyDescent="0.25">
      <c r="B15" s="37" t="s">
        <v>135</v>
      </c>
      <c r="C15" s="38">
        <f>M11</f>
        <v>0.2</v>
      </c>
      <c r="H15" s="44" t="s">
        <v>146</v>
      </c>
      <c r="I15" s="43">
        <f>MIN($F$5:$F$10)</f>
        <v>46204</v>
      </c>
      <c r="J15" s="43">
        <f>I15+7</f>
        <v>46211</v>
      </c>
      <c r="K15" s="43">
        <f>J15+7</f>
        <v>46218</v>
      </c>
      <c r="L15" s="43">
        <f>K15+7</f>
        <v>46225</v>
      </c>
      <c r="M15" s="43">
        <f>L15+7</f>
        <v>46232</v>
      </c>
      <c r="N15" s="43">
        <f>M15+7</f>
        <v>46239</v>
      </c>
      <c r="O15" s="43">
        <f>N15+7</f>
        <v>46246</v>
      </c>
      <c r="P15" s="43">
        <f>O15+7</f>
        <v>46253</v>
      </c>
      <c r="Q15" s="43">
        <f>P15+7</f>
        <v>46260</v>
      </c>
      <c r="R15" s="43">
        <f>Q15+7</f>
        <v>46267</v>
      </c>
      <c r="S15" s="43">
        <f>R15+7</f>
        <v>46274</v>
      </c>
      <c r="T15" s="43">
        <f>S15+7</f>
        <v>46281</v>
      </c>
      <c r="U15" s="43">
        <f>T15+7</f>
        <v>46288</v>
      </c>
      <c r="V15" s="43">
        <f>U15+7</f>
        <v>46295</v>
      </c>
    </row>
    <row r="16" spans="1:22" x14ac:dyDescent="0.25">
      <c r="B16" s="37" t="s">
        <v>136</v>
      </c>
      <c r="C16" s="38">
        <f>AVERAGE(L5:L10)</f>
        <v>0.41666666666666669</v>
      </c>
      <c r="H16" s="45" t="str">
        <f>$B$5&amp;". "&amp;$C$5</f>
        <v>1. P</v>
      </c>
      <c r="I16" s="42" t="str">
        <f>IF(AND($G$5&gt;=I$15,$F$5&lt;=I$15+6),"▓","")</f>
        <v>▓</v>
      </c>
      <c r="J16" s="42" t="str">
        <f>IF(AND($G$5&gt;=J$15,$F$5&lt;=J$15+6),"▓","")</f>
        <v/>
      </c>
      <c r="K16" s="42" t="str">
        <f>IF(AND($G$5&gt;=K$15,$F$5&lt;=K$15+6),"▓","")</f>
        <v/>
      </c>
      <c r="L16" s="42" t="str">
        <f>IF(AND($G$5&gt;=L$15,$F$5&lt;=L$15+6),"▓","")</f>
        <v/>
      </c>
      <c r="M16" s="42" t="str">
        <f>IF(AND($G$5&gt;=M$15,$F$5&lt;=M$15+6),"▓","")</f>
        <v/>
      </c>
      <c r="N16" s="42" t="str">
        <f>IF(AND($G$5&gt;=N$15,$F$5&lt;=N$15+6),"▓","")</f>
        <v/>
      </c>
      <c r="O16" s="42" t="str">
        <f>IF(AND($G$5&gt;=O$15,$F$5&lt;=O$15+6),"▓","")</f>
        <v/>
      </c>
      <c r="P16" s="42" t="str">
        <f>IF(AND($G$5&gt;=P$15,$F$5&lt;=P$15+6),"▓","")</f>
        <v/>
      </c>
      <c r="Q16" s="42" t="str">
        <f>IF(AND($G$5&gt;=Q$15,$F$5&lt;=Q$15+6),"▓","")</f>
        <v/>
      </c>
      <c r="R16" s="42" t="str">
        <f>IF(AND($G$5&gt;=R$15,$F$5&lt;=R$15+6),"▓","")</f>
        <v/>
      </c>
      <c r="S16" s="42" t="str">
        <f>IF(AND($G$5&gt;=S$15,$F$5&lt;=S$15+6),"▓","")</f>
        <v/>
      </c>
      <c r="T16" s="42" t="str">
        <f>IF(AND($G$5&gt;=T$15,$F$5&lt;=T$15+6),"▓","")</f>
        <v/>
      </c>
      <c r="U16" s="42" t="str">
        <f>IF(AND($G$5&gt;=U$15,$F$5&lt;=U$15+6),"▓","")</f>
        <v/>
      </c>
      <c r="V16" s="42" t="str">
        <f>IF(AND($G$5&gt;=V$15,$F$5&lt;=V$15+6),"▓","")</f>
        <v/>
      </c>
    </row>
    <row r="17" spans="2:22" x14ac:dyDescent="0.25">
      <c r="B17" s="37" t="s">
        <v>137</v>
      </c>
      <c r="C17" s="39" t="str">
        <f ca="1">COUNTIF(N5:N10,"Concluida")&amp;" de "&amp;COUNTA(B5:B10)</f>
        <v>2 de 6</v>
      </c>
      <c r="H17" s="45" t="str">
        <f>$B$6&amp;". "&amp;$C$6</f>
        <v>2. P</v>
      </c>
      <c r="I17" s="42" t="str">
        <f>IF(AND($G$6&gt;=I$15,$F$6&lt;=I$15+6),"▓","")</f>
        <v>▓</v>
      </c>
      <c r="J17" s="42" t="str">
        <f>IF(AND($G$6&gt;=J$15,$F$6&lt;=J$15+6),"▓","")</f>
        <v>▓</v>
      </c>
      <c r="K17" s="42" t="str">
        <f>IF(AND($G$6&gt;=K$15,$F$6&lt;=K$15+6),"▓","")</f>
        <v>▓</v>
      </c>
      <c r="L17" s="42" t="str">
        <f>IF(AND($G$6&gt;=L$15,$F$6&lt;=L$15+6),"▓","")</f>
        <v/>
      </c>
      <c r="M17" s="42" t="str">
        <f>IF(AND($G$6&gt;=M$15,$F$6&lt;=M$15+6),"▓","")</f>
        <v/>
      </c>
      <c r="N17" s="42" t="str">
        <f>IF(AND($G$6&gt;=N$15,$F$6&lt;=N$15+6),"▓","")</f>
        <v/>
      </c>
      <c r="O17" s="42" t="str">
        <f>IF(AND($G$6&gt;=O$15,$F$6&lt;=O$15+6),"▓","")</f>
        <v/>
      </c>
      <c r="P17" s="42" t="str">
        <f>IF(AND($G$6&gt;=P$15,$F$6&lt;=P$15+6),"▓","")</f>
        <v/>
      </c>
      <c r="Q17" s="42" t="str">
        <f>IF(AND($G$6&gt;=Q$15,$F$6&lt;=Q$15+6),"▓","")</f>
        <v/>
      </c>
      <c r="R17" s="42" t="str">
        <f>IF(AND($G$6&gt;=R$15,$F$6&lt;=R$15+6),"▓","")</f>
        <v/>
      </c>
      <c r="S17" s="42" t="str">
        <f>IF(AND($G$6&gt;=S$15,$F$6&lt;=S$15+6),"▓","")</f>
        <v/>
      </c>
      <c r="T17" s="42" t="str">
        <f>IF(AND($G$6&gt;=T$15,$F$6&lt;=T$15+6),"▓","")</f>
        <v/>
      </c>
      <c r="U17" s="42" t="str">
        <f>IF(AND($G$6&gt;=U$15,$F$6&lt;=U$15+6),"▓","")</f>
        <v/>
      </c>
      <c r="V17" s="42" t="str">
        <f>IF(AND($G$6&gt;=V$15,$F$6&lt;=V$15+6),"▓","")</f>
        <v/>
      </c>
    </row>
    <row r="18" spans="2:22" x14ac:dyDescent="0.25">
      <c r="B18" s="37" t="s">
        <v>138</v>
      </c>
      <c r="C18" s="39">
        <f ca="1">COUNTIF(N5:N10,"Vencida")</f>
        <v>0</v>
      </c>
      <c r="H18" s="45" t="str">
        <f>$B$7&amp;". "&amp;$C$7</f>
        <v>3. P</v>
      </c>
      <c r="I18" s="42" t="str">
        <f>IF(AND($G$7&gt;=I$15,$F$7&lt;=I$15+6),"▓","")</f>
        <v/>
      </c>
      <c r="J18" s="42" t="str">
        <f>IF(AND($G$7&gt;=J$15,$F$7&lt;=J$15+6),"▓","")</f>
        <v/>
      </c>
      <c r="K18" s="42" t="str">
        <f>IF(AND($G$7&gt;=K$15,$F$7&lt;=K$15+6),"▓","")</f>
        <v>▓</v>
      </c>
      <c r="L18" s="42" t="str">
        <f>IF(AND($G$7&gt;=L$15,$F$7&lt;=L$15+6),"▓","")</f>
        <v>▓</v>
      </c>
      <c r="M18" s="42" t="str">
        <f>IF(AND($G$7&gt;=M$15,$F$7&lt;=M$15+6),"▓","")</f>
        <v/>
      </c>
      <c r="N18" s="42" t="str">
        <f>IF(AND($G$7&gt;=N$15,$F$7&lt;=N$15+6),"▓","")</f>
        <v/>
      </c>
      <c r="O18" s="42" t="str">
        <f>IF(AND($G$7&gt;=O$15,$F$7&lt;=O$15+6),"▓","")</f>
        <v/>
      </c>
      <c r="P18" s="42" t="str">
        <f>IF(AND($G$7&gt;=P$15,$F$7&lt;=P$15+6),"▓","")</f>
        <v/>
      </c>
      <c r="Q18" s="42" t="str">
        <f>IF(AND($G$7&gt;=Q$15,$F$7&lt;=Q$15+6),"▓","")</f>
        <v/>
      </c>
      <c r="R18" s="42" t="str">
        <f>IF(AND($G$7&gt;=R$15,$F$7&lt;=R$15+6),"▓","")</f>
        <v/>
      </c>
      <c r="S18" s="42" t="str">
        <f>IF(AND($G$7&gt;=S$15,$F$7&lt;=S$15+6),"▓","")</f>
        <v/>
      </c>
      <c r="T18" s="42" t="str">
        <f>IF(AND($G$7&gt;=T$15,$F$7&lt;=T$15+6),"▓","")</f>
        <v/>
      </c>
      <c r="U18" s="42" t="str">
        <f>IF(AND($G$7&gt;=U$15,$F$7&lt;=U$15+6),"▓","")</f>
        <v/>
      </c>
      <c r="V18" s="42" t="str">
        <f>IF(AND($G$7&gt;=V$15,$F$7&lt;=V$15+6),"▓","")</f>
        <v/>
      </c>
    </row>
    <row r="19" spans="2:22" x14ac:dyDescent="0.25">
      <c r="B19" s="37" t="s">
        <v>139</v>
      </c>
      <c r="C19" s="39">
        <f>COUNTIF(J5:J10,"Sí")</f>
        <v>3</v>
      </c>
      <c r="H19" s="45" t="str">
        <f>$B$8&amp;". "&amp;$C$8</f>
        <v>4. H</v>
      </c>
      <c r="I19" s="42" t="str">
        <f>IF(AND($G$8&gt;=I$15,$F$8&lt;=I$15+6),"▓","")</f>
        <v/>
      </c>
      <c r="J19" s="42" t="str">
        <f>IF(AND($G$8&gt;=J$15,$F$8&lt;=J$15+6),"▓","")</f>
        <v/>
      </c>
      <c r="K19" s="42" t="str">
        <f>IF(AND($G$8&gt;=K$15,$F$8&lt;=K$15+6),"▓","")</f>
        <v/>
      </c>
      <c r="L19" s="42" t="str">
        <f>IF(AND($G$8&gt;=L$15,$F$8&lt;=L$15+6),"▓","")</f>
        <v>▓</v>
      </c>
      <c r="M19" s="42" t="str">
        <f>IF(AND($G$8&gt;=M$15,$F$8&lt;=M$15+6),"▓","")</f>
        <v>▓</v>
      </c>
      <c r="N19" s="42" t="str">
        <f>IF(AND($G$8&gt;=N$15,$F$8&lt;=N$15+6),"▓","")</f>
        <v>▓</v>
      </c>
      <c r="O19" s="42" t="str">
        <f>IF(AND($G$8&gt;=O$15,$F$8&lt;=O$15+6),"▓","")</f>
        <v>▓</v>
      </c>
      <c r="P19" s="42" t="str">
        <f>IF(AND($G$8&gt;=P$15,$F$8&lt;=P$15+6),"▓","")</f>
        <v>▓</v>
      </c>
      <c r="Q19" s="42" t="str">
        <f>IF(AND($G$8&gt;=Q$15,$F$8&lt;=Q$15+6),"▓","")</f>
        <v>▓</v>
      </c>
      <c r="R19" s="42" t="str">
        <f>IF(AND($G$8&gt;=R$15,$F$8&lt;=R$15+6),"▓","")</f>
        <v/>
      </c>
      <c r="S19" s="42" t="str">
        <f>IF(AND($G$8&gt;=S$15,$F$8&lt;=S$15+6),"▓","")</f>
        <v/>
      </c>
      <c r="T19" s="42" t="str">
        <f>IF(AND($G$8&gt;=T$15,$F$8&lt;=T$15+6),"▓","")</f>
        <v/>
      </c>
      <c r="U19" s="42" t="str">
        <f>IF(AND($G$8&gt;=U$15,$F$8&lt;=U$15+6),"▓","")</f>
        <v/>
      </c>
      <c r="V19" s="42" t="str">
        <f>IF(AND($G$8&gt;=V$15,$F$8&lt;=V$15+6),"▓","")</f>
        <v/>
      </c>
    </row>
    <row r="20" spans="2:22" x14ac:dyDescent="0.25">
      <c r="B20" s="37" t="s">
        <v>140</v>
      </c>
      <c r="C20" s="40">
        <f>K11</f>
        <v>1</v>
      </c>
      <c r="H20" s="45" t="str">
        <f>$B$9&amp;". "&amp;$C$9</f>
        <v>5. V</v>
      </c>
      <c r="I20" s="42" t="str">
        <f>IF(AND($G$9&gt;=I$15,$F$9&lt;=I$15+6),"▓","")</f>
        <v/>
      </c>
      <c r="J20" s="42" t="str">
        <f>IF(AND($G$9&gt;=J$15,$F$9&lt;=J$15+6),"▓","")</f>
        <v/>
      </c>
      <c r="K20" s="42" t="str">
        <f>IF(AND($G$9&gt;=K$15,$F$9&lt;=K$15+6),"▓","")</f>
        <v/>
      </c>
      <c r="L20" s="42" t="str">
        <f>IF(AND($G$9&gt;=L$15,$F$9&lt;=L$15+6),"▓","")</f>
        <v/>
      </c>
      <c r="M20" s="42" t="str">
        <f>IF(AND($G$9&gt;=M$15,$F$9&lt;=M$15+6),"▓","")</f>
        <v/>
      </c>
      <c r="N20" s="42" t="str">
        <f>IF(AND($G$9&gt;=N$15,$F$9&lt;=N$15+6),"▓","")</f>
        <v/>
      </c>
      <c r="O20" s="42" t="str">
        <f>IF(AND($G$9&gt;=O$15,$F$9&lt;=O$15+6),"▓","")</f>
        <v/>
      </c>
      <c r="P20" s="42" t="str">
        <f>IF(AND($G$9&gt;=P$15,$F$9&lt;=P$15+6),"▓","")</f>
        <v/>
      </c>
      <c r="Q20" s="42" t="str">
        <f>IF(AND($G$9&gt;=Q$15,$F$9&lt;=Q$15+6),"▓","")</f>
        <v>▓</v>
      </c>
      <c r="R20" s="42" t="str">
        <f>IF(AND($G$9&gt;=R$15,$F$9&lt;=R$15+6),"▓","")</f>
        <v>▓</v>
      </c>
      <c r="S20" s="42" t="str">
        <f>IF(AND($G$9&gt;=S$15,$F$9&lt;=S$15+6),"▓","")</f>
        <v>▓</v>
      </c>
      <c r="T20" s="42" t="str">
        <f>IF(AND($G$9&gt;=T$15,$F$9&lt;=T$15+6),"▓","")</f>
        <v/>
      </c>
      <c r="U20" s="42" t="str">
        <f>IF(AND($G$9&gt;=U$15,$F$9&lt;=U$15+6),"▓","")</f>
        <v/>
      </c>
      <c r="V20" s="42" t="str">
        <f>IF(AND($G$9&gt;=V$15,$F$9&lt;=V$15+6),"▓","")</f>
        <v/>
      </c>
    </row>
    <row r="21" spans="2:22" x14ac:dyDescent="0.25">
      <c r="B21" s="37" t="s">
        <v>141</v>
      </c>
      <c r="C21" s="41">
        <f>MIN(F5:F10)</f>
        <v>46204</v>
      </c>
      <c r="H21" s="45" t="str">
        <f>$B$10&amp;". "&amp;$C$10</f>
        <v>6. A</v>
      </c>
      <c r="I21" s="42" t="str">
        <f>IF(AND($G$10&gt;=I$15,$F$10&lt;=I$15+6),"▓","")</f>
        <v/>
      </c>
      <c r="J21" s="42" t="str">
        <f>IF(AND($G$10&gt;=J$15,$F$10&lt;=J$15+6),"▓","")</f>
        <v/>
      </c>
      <c r="K21" s="42" t="str">
        <f>IF(AND($G$10&gt;=K$15,$F$10&lt;=K$15+6),"▓","")</f>
        <v/>
      </c>
      <c r="L21" s="42" t="str">
        <f>IF(AND($G$10&gt;=L$15,$F$10&lt;=L$15+6),"▓","")</f>
        <v/>
      </c>
      <c r="M21" s="42" t="str">
        <f>IF(AND($G$10&gt;=M$15,$F$10&lt;=M$15+6),"▓","")</f>
        <v/>
      </c>
      <c r="N21" s="42" t="str">
        <f>IF(AND($G$10&gt;=N$15,$F$10&lt;=N$15+6),"▓","")</f>
        <v/>
      </c>
      <c r="O21" s="42" t="str">
        <f>IF(AND($G$10&gt;=O$15,$F$10&lt;=O$15+6),"▓","")</f>
        <v/>
      </c>
      <c r="P21" s="42" t="str">
        <f>IF(AND($G$10&gt;=P$15,$F$10&lt;=P$15+6),"▓","")</f>
        <v/>
      </c>
      <c r="Q21" s="42" t="str">
        <f>IF(AND($G$10&gt;=Q$15,$F$10&lt;=Q$15+6),"▓","")</f>
        <v/>
      </c>
      <c r="R21" s="42" t="str">
        <f>IF(AND($G$10&gt;=R$15,$F$10&lt;=R$15+6),"▓","")</f>
        <v/>
      </c>
      <c r="S21" s="42" t="str">
        <f>IF(AND($G$10&gt;=S$15,$F$10&lt;=S$15+6),"▓","")</f>
        <v>▓</v>
      </c>
      <c r="T21" s="42" t="str">
        <f>IF(AND($G$10&gt;=T$15,$F$10&lt;=T$15+6),"▓","")</f>
        <v>▓</v>
      </c>
      <c r="U21" s="42" t="str">
        <f>IF(AND($G$10&gt;=U$15,$F$10&lt;=U$15+6),"▓","")</f>
        <v>▓</v>
      </c>
      <c r="V21" s="42" t="str">
        <f>IF(AND($G$10&gt;=V$15,$F$10&lt;=V$15+6),"▓","")</f>
        <v/>
      </c>
    </row>
    <row r="22" spans="2:22" x14ac:dyDescent="0.25">
      <c r="B22" s="37" t="s">
        <v>142</v>
      </c>
      <c r="C22" s="41">
        <f>MAX(G5:G10)</f>
        <v>46294</v>
      </c>
    </row>
    <row r="23" spans="2:22" x14ac:dyDescent="0.25">
      <c r="B23" s="37" t="s">
        <v>143</v>
      </c>
      <c r="C23" s="49">
        <f>H11</f>
        <v>91</v>
      </c>
    </row>
    <row r="24" spans="2:22" x14ac:dyDescent="0.25">
      <c r="B24" s="37" t="s">
        <v>144</v>
      </c>
      <c r="C24" s="39" t="str">
        <f ca="1">IF(COUNTIF(N5:N10,"Vencida")&gt;0,"🔴 Crítico - hay tareas vencidas",IF(M11&gt;=AVERAGE(L5:L10),"🟢 En control","🟡 Vigilar"))</f>
        <v>🟡 Vigilar</v>
      </c>
    </row>
  </sheetData>
  <mergeCells count="3">
    <mergeCell ref="A2:O2"/>
    <mergeCell ref="B14:C14"/>
    <mergeCell ref="H14:V14"/>
  </mergeCells>
  <conditionalFormatting sqref="N5:N10">
    <cfRule type="containsText" dxfId="5" priority="1" operator="containsText" text="Concluida">
      <formula>NOT(ISERROR(SEARCH("Concluida",N5)))</formula>
    </cfRule>
  </conditionalFormatting>
  <conditionalFormatting sqref="N5:N10">
    <cfRule type="containsText" dxfId="4" priority="2" operator="containsText" text="En curso">
      <formula>NOT(ISERROR(SEARCH("En curso",N5)))</formula>
    </cfRule>
  </conditionalFormatting>
  <conditionalFormatting sqref="N5:N10">
    <cfRule type="containsText" dxfId="3" priority="3" operator="containsText" text="Vencida">
      <formula>NOT(ISERROR(SEARCH("Vencida",N5)))</formula>
    </cfRule>
  </conditionalFormatting>
  <conditionalFormatting sqref="N5:N10">
    <cfRule type="containsText" dxfId="2" priority="4" operator="containsText" text="Pendiente">
      <formula>NOT(ISERROR(SEARCH("Pendiente",N5)))</formula>
    </cfRule>
  </conditionalFormatting>
  <conditionalFormatting sqref="L5:L10">
    <cfRule type="dataBar" priority="5">
      <dataBar>
        <cfvo type="num" val="0"/>
        <cfvo type="num" val="1"/>
        <color rgb="FF7B1FA2"/>
      </dataBar>
      <extLst>
        <ext xmlns:x14="http://schemas.microsoft.com/office/spreadsheetml/2009/9/main" uri="{B025F937-C7B1-47D3-B67F-A62EFF666E3E}">
          <x14:id>{FEDFCC4D-36A0-4B40-869D-9334AC6D0467}</x14:id>
        </ext>
      </extLst>
    </cfRule>
  </conditionalFormatting>
  <conditionalFormatting sqref="K11">
    <cfRule type="cellIs" dxfId="1" priority="6" operator="equal">
      <formula>1</formula>
    </cfRule>
  </conditionalFormatting>
  <conditionalFormatting sqref="K11">
    <cfRule type="cellIs" dxfId="0" priority="7" operator="notEqual">
      <formula>1</formula>
    </cfRule>
  </conditionalFormatting>
  <dataValidations count="4">
    <dataValidation type="list" allowBlank="1" sqref="N5:N13 N15:N30" xr:uid="{00000000-0002-0000-0300-000000000000}">
      <formula1>"Pendiente,En curso,Concluida,Reprogramada,Cancelada"</formula1>
      <formula2>0</formula2>
    </dataValidation>
    <dataValidation type="list" allowBlank="1" showInputMessage="1" showErrorMessage="1" sqref="C5:C10" xr:uid="{2DAD94B4-C504-4BFA-86F1-2F0F400E27C4}">
      <formula1>"P,H,V,A"</formula1>
    </dataValidation>
    <dataValidation type="list" allowBlank="1" showInputMessage="1" showErrorMessage="1" sqref="J5:J10" xr:uid="{10C8EB57-1F7F-4DD3-A4A7-86CABDCED85E}">
      <formula1>"Sí,No"</formula1>
    </dataValidation>
    <dataValidation type="decimal" allowBlank="1" showInputMessage="1" showErrorMessage="1" sqref="L5:L10" xr:uid="{1642D138-CE48-4538-AA92-EAAEBDA4B808}">
      <formula1>0</formula1>
      <formula2>1</formula2>
    </dataValidation>
  </dataValidations>
  <pageMargins left="0.75" right="0.75" top="1" bottom="1" header="0.5" footer="0.5"/>
  <pageSetup paperSize="9" orientation="portrait" horizontalDpi="300" verticalDpi="300"/>
  <headerFooter>
    <oddHeader>&amp;C&amp;K7f7f7fPierre R.</oddHeader>
    <oddFooter>&amp;L&amp;K7f7f7fCR-SGC-002 · Plantilla genérica referencial · Autoría: Pierre R.&amp;R&amp;K7f7f7fPág. &amp;P de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DFCC4D-36A0-4B40-869D-9334AC6D0467}">
            <x14:dataBar minLength="0" maxLength="100" direction="leftToRight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L5:L10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 e Instrucciones</vt:lpstr>
      <vt:lpstr>Nivel Básico</vt:lpstr>
      <vt:lpstr>Nivel Intermedio</vt:lpstr>
      <vt:lpstr>Nivel Avanzado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pierre R</cp:lastModifiedBy>
  <cp:revision>0</cp:revision>
  <dcterms:created xsi:type="dcterms:W3CDTF">2026-06-09T23:47:44Z</dcterms:created>
  <dcterms:modified xsi:type="dcterms:W3CDTF">2026-06-10T02:12:20Z</dcterms:modified>
  <dc:language>en-US</dc:language>
</cp:coreProperties>
</file>